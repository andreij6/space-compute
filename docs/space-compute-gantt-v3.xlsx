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  <sheet name="Progress" sheetId="2" state="visible" r:id="rId2"/>
    <sheet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202124"/>
      </patternFill>
    </fill>
    <fill>
      <patternFill patternType="solid">
        <fgColor rgb="00B4B4B4"/>
      </patternFill>
    </fill>
    <fill>
      <patternFill patternType="solid">
        <fgColor rgb="008AB4F8"/>
      </patternFill>
    </fill>
    <fill>
      <patternFill patternType="solid">
        <fgColor rgb="0081C995"/>
      </patternFill>
    </fill>
    <fill>
      <patternFill patternType="solid">
        <fgColor rgb="00FDD663"/>
      </patternFill>
    </fill>
    <fill>
      <patternFill patternType="solid">
        <fgColor rgb="00F28B82"/>
      </patternFill>
    </fill>
    <fill>
      <patternFill patternType="solid">
        <fgColor rgb="00C58AF9"/>
      </patternFill>
    </fill>
    <fill>
      <patternFill patternType="solid">
        <fgColor rgb="0078D9EC"/>
      </patternFill>
    </fill>
    <fill>
      <patternFill patternType="solid">
        <fgColor rgb="00FCAD70"/>
      </patternFill>
    </fill>
    <fill>
      <patternFill patternType="solid">
        <fgColor rgb="00A8DAB5"/>
      </patternFill>
    </fill>
    <fill>
      <patternFill patternType="solid">
        <fgColor rgb="00F6AE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 textRotation="90"/>
    </xf>
    <xf numFmtId="164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14">
    <dxf>
      <fill>
        <patternFill patternType="solid">
          <fgColor rgb="001E8E3E"/>
        </patternFill>
      </fill>
    </dxf>
    <dxf>
      <fill>
        <patternFill patternType="solid">
          <fgColor rgb="00B4B4B4"/>
        </patternFill>
      </fill>
    </dxf>
    <dxf>
      <fill>
        <patternFill patternType="solid">
          <fgColor rgb="008AB4F8"/>
        </patternFill>
      </fill>
    </dxf>
    <dxf>
      <fill>
        <patternFill patternType="solid">
          <fgColor rgb="0081C995"/>
        </patternFill>
      </fill>
    </dxf>
    <dxf>
      <fill>
        <patternFill patternType="solid">
          <fgColor rgb="00FDD663"/>
        </patternFill>
      </fill>
    </dxf>
    <dxf>
      <fill>
        <patternFill patternType="solid">
          <fgColor rgb="00F28B82"/>
        </patternFill>
      </fill>
    </dxf>
    <dxf>
      <fill>
        <patternFill patternType="solid">
          <fgColor rgb="00C58AF9"/>
        </patternFill>
      </fill>
    </dxf>
    <dxf>
      <fill>
        <patternFill patternType="solid">
          <fgColor rgb="0078D9EC"/>
        </patternFill>
      </fill>
    </dxf>
    <dxf>
      <fill>
        <patternFill patternType="solid">
          <fgColor rgb="00FCAD70"/>
        </patternFill>
      </fill>
    </dxf>
    <dxf>
      <fill>
        <patternFill patternType="solid">
          <fgColor rgb="00A8DAB5"/>
        </patternFill>
      </fill>
    </dxf>
    <dxf>
      <fill>
        <patternFill patternType="solid">
          <fgColor rgb="00F6AEA9"/>
        </patternFill>
      </fill>
    </dxf>
    <dxf>
      <fill>
        <patternFill patternType="solid">
          <fgColor rgb="00FFF4CE"/>
        </patternFill>
      </fill>
    </dxf>
    <dxf>
      <font>
        <b val="1"/>
        <color rgb="00D93025"/>
      </font>
    </dxf>
    <dxf>
      <font>
        <b val="1"/>
        <color rgb="001E8E3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14" customWidth="1" min="4" max="4"/>
    <col width="11" customWidth="1" min="5" max="5"/>
    <col width="11" customWidth="1" min="6" max="6"/>
    <col width="6" customWidth="1" min="7" max="7"/>
    <col width="16" customWidth="1" min="8" max="8"/>
    <col width="9" customWidth="1" min="9" max="9"/>
    <col width="12" customWidth="1" min="10" max="10"/>
    <col width="6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 ht="48" customHeight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Model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Work days</t>
        </is>
      </c>
      <c r="H1" s="1" t="inlineStr">
        <is>
          <t>Depends on</t>
        </is>
      </c>
      <c r="I1" s="1" t="inlineStr">
        <is>
          <t>% Complete</t>
        </is>
      </c>
      <c r="J1" s="1" t="inlineStr">
        <is>
          <t>Status</t>
        </is>
      </c>
      <c r="K1" s="1" t="inlineStr">
        <is>
          <t>Done days</t>
        </is>
      </c>
      <c r="L1" s="2" t="n">
        <v>46286</v>
      </c>
      <c r="M1" s="2" t="n">
        <v>46293</v>
      </c>
      <c r="N1" s="2" t="n">
        <v>46300</v>
      </c>
      <c r="O1" s="2" t="n">
        <v>46307</v>
      </c>
      <c r="P1" s="2" t="n">
        <v>46314</v>
      </c>
      <c r="Q1" s="2" t="n">
        <v>46321</v>
      </c>
      <c r="R1" s="2" t="n">
        <v>46328</v>
      </c>
      <c r="S1" s="2" t="n">
        <v>46335</v>
      </c>
      <c r="T1" s="2" t="n">
        <v>46342</v>
      </c>
      <c r="U1" s="2" t="n">
        <v>46349</v>
      </c>
      <c r="V1" s="2" t="n">
        <v>46356</v>
      </c>
      <c r="W1" s="2" t="n">
        <v>46363</v>
      </c>
      <c r="X1" s="2" t="n">
        <v>46370</v>
      </c>
      <c r="Y1" s="2" t="n">
        <v>46377</v>
      </c>
      <c r="Z1" s="2" t="n">
        <v>46384</v>
      </c>
      <c r="AA1" s="2" t="n">
        <v>46391</v>
      </c>
      <c r="AB1" s="2" t="n">
        <v>46398</v>
      </c>
      <c r="AC1" s="2" t="n">
        <v>46405</v>
      </c>
      <c r="AD1" s="2" t="n">
        <v>46412</v>
      </c>
      <c r="AE1" s="2" t="n">
        <v>46419</v>
      </c>
      <c r="AF1" s="2" t="n">
        <v>46426</v>
      </c>
    </row>
    <row r="2">
      <c r="A2" t="inlineStr">
        <is>
          <t>T0.1</t>
        </is>
      </c>
      <c r="B2" t="inlineStr">
        <is>
          <t>P0</t>
        </is>
      </c>
      <c r="C2" t="inlineStr">
        <is>
          <t>Overview &amp; design brief</t>
        </is>
      </c>
      <c r="D2" t="inlineStr">
        <is>
          <t>human</t>
        </is>
      </c>
      <c r="E2" s="3" t="n">
        <v>46286</v>
      </c>
      <c r="F2" s="3" t="n">
        <v>46288</v>
      </c>
      <c r="G2" t="n">
        <v>3</v>
      </c>
      <c r="H2" t="inlineStr"/>
      <c r="I2" s="4" t="n">
        <v>1</v>
      </c>
      <c r="J2">
        <f>IF(I2&gt;=1,"Done",IF(TODAY()&gt;F2,"Late",IF(I2&gt;0,"In progress","Not started")))</f>
        <v/>
      </c>
      <c r="K2">
        <f>G2*I2</f>
        <v/>
      </c>
    </row>
    <row r="3">
      <c r="A3" t="inlineStr">
        <is>
          <t>T0.2</t>
        </is>
      </c>
      <c r="B3" t="inlineStr">
        <is>
          <t>P0</t>
        </is>
      </c>
      <c r="C3" t="inlineStr">
        <is>
          <t>Detailed specs + adversarial review</t>
        </is>
      </c>
      <c r="D3" t="inlineStr">
        <is>
          <t>human</t>
        </is>
      </c>
      <c r="E3" s="3" t="n">
        <v>46289</v>
      </c>
      <c r="F3" s="3" t="n">
        <v>46290</v>
      </c>
      <c r="G3" t="n">
        <v>3</v>
      </c>
      <c r="H3" t="inlineStr">
        <is>
          <t>T0.1</t>
        </is>
      </c>
      <c r="I3" s="4" t="n">
        <v>1</v>
      </c>
      <c r="J3">
        <f>IF(I3&gt;=1,"Done",IF(TODAY()&gt;F3,"Late",IF(I3&gt;0,"In progress","Not started")))</f>
        <v/>
      </c>
      <c r="K3">
        <f>G3*I3</f>
        <v/>
      </c>
    </row>
    <row r="4">
      <c r="A4" t="inlineStr">
        <is>
          <t>T0.3</t>
        </is>
      </c>
      <c r="B4" t="inlineStr">
        <is>
          <t>P0</t>
        </is>
      </c>
      <c r="C4" t="inlineStr">
        <is>
          <t>Gantt, review deck, OKRs</t>
        </is>
      </c>
      <c r="D4" t="inlineStr">
        <is>
          <t>human</t>
        </is>
      </c>
      <c r="E4" s="3" t="n">
        <v>46291</v>
      </c>
      <c r="F4" s="3" t="n">
        <v>46291</v>
      </c>
      <c r="G4" t="n">
        <v>1</v>
      </c>
      <c r="H4" t="inlineStr">
        <is>
          <t>T0.2</t>
        </is>
      </c>
      <c r="I4" s="4" t="n">
        <v>1</v>
      </c>
      <c r="J4">
        <f>IF(I4&gt;=1,"Done",IF(TODAY()&gt;F4,"Late",IF(I4&gt;0,"In progress","Not started")))</f>
        <v/>
      </c>
      <c r="K4">
        <f>G4*I4</f>
        <v/>
      </c>
    </row>
    <row r="5">
      <c r="A5" t="inlineStr">
        <is>
          <t>T0.4</t>
        </is>
      </c>
      <c r="B5" t="inlineStr">
        <is>
          <t>P0</t>
        </is>
      </c>
      <c r="C5" t="inlineStr">
        <is>
          <t>Owner review &amp; sign-off of plan</t>
        </is>
      </c>
      <c r="D5" t="inlineStr">
        <is>
          <t>human</t>
        </is>
      </c>
      <c r="E5" s="3" t="n">
        <v>46293</v>
      </c>
      <c r="F5" s="3" t="n">
        <v>46295</v>
      </c>
      <c r="G5" t="n">
        <v>3</v>
      </c>
      <c r="H5" t="inlineStr">
        <is>
          <t>T0.3</t>
        </is>
      </c>
      <c r="I5" s="4" t="n">
        <v>1</v>
      </c>
      <c r="J5">
        <f>IF(I5&gt;=1,"Done",IF(TODAY()&gt;F5,"Late",IF(I5&gt;0,"In progress","Not started")))</f>
        <v/>
      </c>
      <c r="K5">
        <f>G5*I5</f>
        <v/>
      </c>
    </row>
    <row r="6">
      <c r="A6" t="inlineStr">
        <is>
          <t>T1.1</t>
        </is>
      </c>
      <c r="B6" t="inlineStr">
        <is>
          <t>P1</t>
        </is>
      </c>
      <c r="C6" t="inlineStr">
        <is>
          <t>Repo scaffold: cargo workspace, icp.yaml, toolch…</t>
        </is>
      </c>
      <c r="D6" t="inlineStr">
        <is>
          <t>haiku-4.5</t>
        </is>
      </c>
      <c r="E6" s="3" t="n">
        <v>46296</v>
      </c>
      <c r="F6" s="3" t="n">
        <v>46296</v>
      </c>
      <c r="G6" t="n">
        <v>1</v>
      </c>
      <c r="H6" t="inlineStr">
        <is>
          <t>T0.4</t>
        </is>
      </c>
      <c r="I6" s="4" t="n">
        <v>1</v>
      </c>
      <c r="J6">
        <f>IF(I6&gt;=1,"Done",IF(TODAY()&gt;F6,"Late",IF(I6&gt;0,"In progress","Not started")))</f>
        <v/>
      </c>
      <c r="K6">
        <f>G6*I6</f>
        <v/>
      </c>
    </row>
    <row r="7">
      <c r="A7" t="inlineStr">
        <is>
          <t>T1.2</t>
        </is>
      </c>
      <c r="B7" t="inlineStr">
        <is>
          <t>P1</t>
        </is>
      </c>
      <c r="C7" t="inlineStr">
        <is>
          <t>sc-types shared crate (types, ApiError, limits)</t>
        </is>
      </c>
      <c r="D7" t="inlineStr">
        <is>
          <t>sonnet-5</t>
        </is>
      </c>
      <c r="E7" s="3" t="n">
        <v>46297</v>
      </c>
      <c r="F7" s="3" t="n">
        <v>46300</v>
      </c>
      <c r="G7" t="n">
        <v>2</v>
      </c>
      <c r="H7" t="inlineStr">
        <is>
          <t>T1.1</t>
        </is>
      </c>
      <c r="I7" s="4" t="n">
        <v>1</v>
      </c>
      <c r="J7">
        <f>IF(I7&gt;=1,"Done",IF(TODAY()&gt;F7,"Late",IF(I7&gt;0,"In progress","Not started")))</f>
        <v/>
      </c>
      <c r="K7">
        <f>G7*I7</f>
        <v/>
      </c>
    </row>
    <row r="8">
      <c r="A8" t="inlineStr">
        <is>
          <t>T1.3</t>
        </is>
      </c>
      <c r="B8" t="inlineStr">
        <is>
          <t>P1</t>
        </is>
      </c>
      <c r="C8" t="inlineStr">
        <is>
          <t>Local verification &amp; deploy harness (verify-loca…</t>
        </is>
      </c>
      <c r="D8" t="inlineStr">
        <is>
          <t>haiku-4.5</t>
        </is>
      </c>
      <c r="E8" s="3" t="n">
        <v>46297</v>
      </c>
      <c r="F8" s="3" t="n">
        <v>46300</v>
      </c>
      <c r="G8" t="n">
        <v>2</v>
      </c>
      <c r="H8" t="inlineStr">
        <is>
          <t>T1.1</t>
        </is>
      </c>
      <c r="I8" s="4" t="n">
        <v>1</v>
      </c>
      <c r="J8">
        <f>IF(I8&gt;=1,"Done",IF(TODAY()&gt;F8,"Late",IF(I8&gt;0,"In progress","Not started")))</f>
        <v/>
      </c>
      <c r="K8">
        <f>G8*I8</f>
        <v/>
      </c>
    </row>
    <row r="9">
      <c r="A9" t="inlineStr">
        <is>
          <t>T1.4</t>
        </is>
      </c>
      <c r="B9" t="inlineStr">
        <is>
          <t>P1</t>
        </is>
      </c>
      <c r="C9" t="inlineStr">
        <is>
          <t>PocketIC harness with ICP ledger + CMC wasms</t>
        </is>
      </c>
      <c r="D9" t="inlineStr">
        <is>
          <t>sonnet-5</t>
        </is>
      </c>
      <c r="E9" s="3" t="n">
        <v>46297</v>
      </c>
      <c r="F9" s="3" t="n">
        <v>46300</v>
      </c>
      <c r="G9" t="n">
        <v>2</v>
      </c>
      <c r="H9" t="inlineStr">
        <is>
          <t>T1.1</t>
        </is>
      </c>
      <c r="I9" s="4" t="n">
        <v>1</v>
      </c>
      <c r="J9">
        <f>IF(I9&gt;=1,"Done",IF(TODAY()&gt;F9,"Late",IF(I9&gt;0,"In progress","Not started")))</f>
        <v/>
      </c>
      <c r="K9">
        <f>G9*I9</f>
        <v/>
      </c>
    </row>
    <row r="10">
      <c r="A10" t="inlineStr">
        <is>
          <t>SP-7</t>
        </is>
      </c>
      <c r="B10" t="inlineStr">
        <is>
          <t>P1</t>
        </is>
      </c>
      <c r="C10" t="inlineStr">
        <is>
          <t>Spike: Galaxy Zoo JWST (CEERS) labels, licence, …</t>
        </is>
      </c>
      <c r="D10" t="inlineStr">
        <is>
          <t>sonnet-5</t>
        </is>
      </c>
      <c r="E10" s="3" t="n">
        <v>46301</v>
      </c>
      <c r="F10" s="3" t="n">
        <v>46301</v>
      </c>
      <c r="G10" t="n">
        <v>1</v>
      </c>
      <c r="H10" t="inlineStr">
        <is>
          <t>T0.4</t>
        </is>
      </c>
      <c r="I10" s="4" t="n">
        <v>1</v>
      </c>
      <c r="J10">
        <f>IF(I10&gt;=1,"Done",IF(TODAY()&gt;F10,"Late",IF(I10&gt;0,"In progress","Not started")))</f>
        <v/>
      </c>
      <c r="K10">
        <f>G10*I10</f>
        <v/>
      </c>
    </row>
    <row r="11">
      <c r="A11" t="inlineStr">
        <is>
          <t>T1.5</t>
        </is>
      </c>
      <c r="B11" t="inlineStr">
        <is>
          <t>P1</t>
        </is>
      </c>
      <c r="C11" t="inlineStr">
        <is>
          <t>JWST subject selection + gold (DJA v7 catalogs, …</t>
        </is>
      </c>
      <c r="D11" t="inlineStr">
        <is>
          <t>sonnet-5</t>
        </is>
      </c>
      <c r="E11" s="3" t="n">
        <v>46302</v>
      </c>
      <c r="F11" s="3" t="n">
        <v>46308</v>
      </c>
      <c r="G11" t="n">
        <v>5</v>
      </c>
      <c r="H11" t="inlineStr">
        <is>
          <t>SP-7</t>
        </is>
      </c>
      <c r="I11" s="4" t="n">
        <v>0</v>
      </c>
      <c r="J11">
        <f>IF(I11&gt;=1,"Done",IF(TODAY()&gt;F11,"Late",IF(I11&gt;0,"In progress","Not started")))</f>
        <v/>
      </c>
      <c r="K11">
        <f>G11*I11</f>
        <v/>
      </c>
    </row>
    <row r="12">
      <c r="A12" t="inlineStr">
        <is>
          <t>T1.7</t>
        </is>
      </c>
      <c r="B12" t="inlineStr">
        <is>
          <t>P1</t>
        </is>
      </c>
      <c r="C12" t="inlineStr">
        <is>
          <t>Render dossiers (cutouts, RGB, dossier.json) + R…</t>
        </is>
      </c>
      <c r="D12" t="inlineStr">
        <is>
          <t>sonnet-5</t>
        </is>
      </c>
      <c r="E12" s="3" t="n">
        <v>46309</v>
      </c>
      <c r="F12" s="3" t="n">
        <v>46315</v>
      </c>
      <c r="G12" t="n">
        <v>5</v>
      </c>
      <c r="H12" t="inlineStr">
        <is>
          <t>T1.5</t>
        </is>
      </c>
      <c r="I12" s="4" t="n">
        <v>0</v>
      </c>
      <c r="J12">
        <f>IF(I12&gt;=1,"Done",IF(TODAY()&gt;F12,"Late",IF(I12&gt;0,"In progress","Not started")))</f>
        <v/>
      </c>
      <c r="K12">
        <f>G12*I12</f>
        <v/>
      </c>
    </row>
    <row r="13">
      <c r="A13" t="inlineStr">
        <is>
          <t>SP-1</t>
        </is>
      </c>
      <c r="B13" t="inlineStr">
        <is>
          <t>P1</t>
        </is>
      </c>
      <c r="C13" t="inlineStr">
        <is>
          <t>Spike: CMC + ICRC-2 memo behaviour</t>
        </is>
      </c>
      <c r="D13" t="inlineStr">
        <is>
          <t>sonnet-5</t>
        </is>
      </c>
      <c r="E13" s="3" t="n">
        <v>46301</v>
      </c>
      <c r="F13" s="3" t="n">
        <v>46301</v>
      </c>
      <c r="G13" t="n">
        <v>1</v>
      </c>
      <c r="H13" t="inlineStr">
        <is>
          <t>T1.4</t>
        </is>
      </c>
      <c r="I13" s="4" t="n">
        <v>1</v>
      </c>
      <c r="J13">
        <f>IF(I13&gt;=1,"Done",IF(TODAY()&gt;F13,"Late",IF(I13&gt;0,"In progress","Not started")))</f>
        <v/>
      </c>
      <c r="K13">
        <f>G13*I13</f>
        <v/>
      </c>
    </row>
    <row r="14">
      <c r="A14" t="inlineStr">
        <is>
          <t>SP-3</t>
        </is>
      </c>
      <c r="B14" t="inlineStr">
        <is>
          <t>P1</t>
        </is>
      </c>
      <c r="C14" t="inlineStr">
        <is>
          <t>Spike: frozen canister query behaviour</t>
        </is>
      </c>
      <c r="D14" t="inlineStr">
        <is>
          <t>haiku-4.5</t>
        </is>
      </c>
      <c r="E14" s="3" t="n">
        <v>46301</v>
      </c>
      <c r="F14" s="3" t="n">
        <v>46301</v>
      </c>
      <c r="G14" t="n">
        <v>1</v>
      </c>
      <c r="H14" t="inlineStr">
        <is>
          <t>T1.4</t>
        </is>
      </c>
      <c r="I14" s="4" t="n">
        <v>1</v>
      </c>
      <c r="J14">
        <f>IF(I14&gt;=1,"Done",IF(TODAY()&gt;F14,"Late",IF(I14&gt;0,"In progress","Not started")))</f>
        <v/>
      </c>
      <c r="K14">
        <f>G14*I14</f>
        <v/>
      </c>
    </row>
    <row r="15">
      <c r="A15" t="inlineStr">
        <is>
          <t>SP-4</t>
        </is>
      </c>
      <c r="B15" t="inlineStr">
        <is>
          <t>P1</t>
        </is>
      </c>
      <c r="C15" t="inlineStr">
        <is>
          <t>Spike: canister_info cost/latency</t>
        </is>
      </c>
      <c r="D15" t="inlineStr">
        <is>
          <t>haiku-4.5</t>
        </is>
      </c>
      <c r="E15" s="3" t="n">
        <v>46302</v>
      </c>
      <c r="F15" s="3" t="n">
        <v>46302</v>
      </c>
      <c r="G15" t="n">
        <v>1</v>
      </c>
      <c r="H15" t="inlineStr">
        <is>
          <t>T1.4</t>
        </is>
      </c>
      <c r="I15" s="4" t="n">
        <v>1</v>
      </c>
      <c r="J15">
        <f>IF(I15&gt;=1,"Done",IF(TODAY()&gt;F15,"Late",IF(I15&gt;0,"In progress","Not started")))</f>
        <v/>
      </c>
      <c r="K15">
        <f>G15*I15</f>
        <v/>
      </c>
    </row>
    <row r="16">
      <c r="A16" t="inlineStr">
        <is>
          <t>SP-6</t>
        </is>
      </c>
      <c r="B16" t="inlineStr">
        <is>
          <t>P1</t>
        </is>
      </c>
      <c r="C16" t="inlineStr">
        <is>
          <t>Spike: ckETH helper subaccount deposit + minimum</t>
        </is>
      </c>
      <c r="D16" t="inlineStr">
        <is>
          <t>sonnet-5</t>
        </is>
      </c>
      <c r="E16" s="3" t="n">
        <v>46302</v>
      </c>
      <c r="F16" s="3" t="n">
        <v>46302</v>
      </c>
      <c r="G16" t="n">
        <v>1</v>
      </c>
      <c r="H16" t="inlineStr">
        <is>
          <t>T1.4</t>
        </is>
      </c>
      <c r="I16" s="4" t="n">
        <v>1</v>
      </c>
      <c r="J16">
        <f>IF(I16&gt;=1,"Done",IF(TODAY()&gt;F16,"Late",IF(I16&gt;0,"In progress","Not started")))</f>
        <v/>
      </c>
      <c r="K16">
        <f>G16*I16</f>
        <v/>
      </c>
    </row>
    <row r="17">
      <c r="A17" t="inlineStr">
        <is>
          <t>SP-2</t>
        </is>
      </c>
      <c r="B17" t="inlineStr">
        <is>
          <t>P1</t>
        </is>
      </c>
      <c r="C17" t="inlineStr">
        <is>
          <t>Spike: OISY approve w/ spender subaccount</t>
        </is>
      </c>
      <c r="D17" t="inlineStr">
        <is>
          <t>sonnet-5</t>
        </is>
      </c>
      <c r="E17" s="3" t="n">
        <v>46303</v>
      </c>
      <c r="F17" s="3" t="n">
        <v>46303</v>
      </c>
      <c r="G17" t="n">
        <v>1</v>
      </c>
      <c r="H17" t="inlineStr">
        <is>
          <t>T0.4</t>
        </is>
      </c>
      <c r="I17" s="4" t="n">
        <v>1</v>
      </c>
      <c r="J17">
        <f>IF(I17&gt;=1,"Done",IF(TODAY()&gt;F17,"Late",IF(I17&gt;0,"In progress","Not started")))</f>
        <v/>
      </c>
      <c r="K17">
        <f>G17*I17</f>
        <v/>
      </c>
    </row>
    <row r="18">
      <c r="A18" t="inlineStr">
        <is>
          <t>T1.8</t>
        </is>
      </c>
      <c r="B18" t="inlineStr">
        <is>
          <t>P1</t>
        </is>
      </c>
      <c r="C18" t="inlineStr">
        <is>
          <t>Test infra: coverage, fuzz, Playwright+axe, bot-…</t>
        </is>
      </c>
      <c r="D18" t="inlineStr">
        <is>
          <t>sonnet-5</t>
        </is>
      </c>
      <c r="E18" s="3" t="n">
        <v>46303</v>
      </c>
      <c r="F18" s="3" t="n">
        <v>46307</v>
      </c>
      <c r="G18" t="n">
        <v>3</v>
      </c>
      <c r="H18" t="inlineStr">
        <is>
          <t>T1.3,T1.4</t>
        </is>
      </c>
      <c r="I18" s="4" t="n">
        <v>0</v>
      </c>
      <c r="J18">
        <f>IF(I18&gt;=1,"Done",IF(TODAY()&gt;F18,"Late",IF(I18&gt;0,"In progress","Not started")))</f>
        <v/>
      </c>
      <c r="K18">
        <f>G18*I18</f>
        <v/>
      </c>
    </row>
    <row r="19">
      <c r="A19" t="inlineStr">
        <is>
          <t>T2.1</t>
        </is>
      </c>
      <c r="B19" t="inlineStr">
        <is>
          <t>P2</t>
        </is>
      </c>
      <c r="C19" t="inlineStr">
        <is>
          <t>platform skeleton: config/admin, memory map, tim…</t>
        </is>
      </c>
      <c r="D19" t="inlineStr">
        <is>
          <t>sonnet-5</t>
        </is>
      </c>
      <c r="E19" s="3" t="n">
        <v>46304</v>
      </c>
      <c r="F19" s="3" t="n">
        <v>46307</v>
      </c>
      <c r="G19" t="n">
        <v>2</v>
      </c>
      <c r="H19" t="inlineStr">
        <is>
          <t>T1.2</t>
        </is>
      </c>
      <c r="I19" s="4" t="n">
        <v>0</v>
      </c>
      <c r="J19">
        <f>IF(I19&gt;=1,"Done",IF(TODAY()&gt;F19,"Late",IF(I19&gt;0,"In progress","Not started")))</f>
        <v/>
      </c>
      <c r="K19">
        <f>G19*I19</f>
        <v/>
      </c>
    </row>
    <row r="20">
      <c r="A20" t="inlineStr">
        <is>
          <t>T2.2</t>
        </is>
      </c>
      <c r="B20" t="inlineStr">
        <is>
          <t>P2</t>
        </is>
      </c>
      <c r="C20" t="inlineStr">
        <is>
          <t>Registry &amp; factory: register/install/verify/upgr…</t>
        </is>
      </c>
      <c r="D20" t="inlineStr">
        <is>
          <t>opus-5.5 (high)</t>
        </is>
      </c>
      <c r="E20" s="3" t="n">
        <v>46308</v>
      </c>
      <c r="F20" s="3" t="n">
        <v>46311</v>
      </c>
      <c r="G20" t="n">
        <v>4</v>
      </c>
      <c r="H20" t="inlineStr">
        <is>
          <t>T2.1,SP-4</t>
        </is>
      </c>
      <c r="I20" s="4" t="n">
        <v>0</v>
      </c>
      <c r="J20">
        <f>IF(I20&gt;=1,"Done",IF(TODAY()&gt;F20,"Late",IF(I20&gt;0,"In progress","Not started")))</f>
        <v/>
      </c>
      <c r="K20">
        <f>G20*I20</f>
        <v/>
      </c>
    </row>
    <row r="21">
      <c r="A21" t="inlineStr">
        <is>
          <t>T2.3</t>
        </is>
      </c>
      <c r="B21" t="inlineStr">
        <is>
          <t>P2</t>
        </is>
      </c>
      <c r="C21" t="inlineStr">
        <is>
          <t>Catalog: subjects, protocol, leases, seen-set, g…</t>
        </is>
      </c>
      <c r="D21" t="inlineStr">
        <is>
          <t>sonnet-5</t>
        </is>
      </c>
      <c r="E21" s="3" t="n">
        <v>46308</v>
      </c>
      <c r="F21" s="3" t="n">
        <v>46311</v>
      </c>
      <c r="G21" t="n">
        <v>4</v>
      </c>
      <c r="H21" t="inlineStr">
        <is>
          <t>T2.1</t>
        </is>
      </c>
      <c r="I21" s="4" t="n">
        <v>0</v>
      </c>
      <c r="J21">
        <f>IF(I21&gt;=1,"Done",IF(TODAY()&gt;F21,"Late",IF(I21&gt;0,"In progress","Not started")))</f>
        <v/>
      </c>
      <c r="K21">
        <f>G21*I21</f>
        <v/>
      </c>
    </row>
    <row r="22">
      <c r="A22" t="inlineStr">
        <is>
          <t>T2.4</t>
        </is>
      </c>
      <c r="B22" t="inlineStr">
        <is>
          <t>P2</t>
        </is>
      </c>
      <c r="C22" t="inlineStr">
        <is>
          <t>Scoring: validation, gold, tallies, retirement, …</t>
        </is>
      </c>
      <c r="D22" t="inlineStr">
        <is>
          <t>opus-5.5 (high)</t>
        </is>
      </c>
      <c r="E22" s="3" t="n">
        <v>46314</v>
      </c>
      <c r="F22" s="3" t="n">
        <v>46317</v>
      </c>
      <c r="G22" t="n">
        <v>4</v>
      </c>
      <c r="H22" t="inlineStr">
        <is>
          <t>T2.3</t>
        </is>
      </c>
      <c r="I22" s="4" t="n">
        <v>0</v>
      </c>
      <c r="J22">
        <f>IF(I22&gt;=1,"Done",IF(TODAY()&gt;F22,"Late",IF(I22&gt;0,"In progress","Not started")))</f>
        <v/>
      </c>
      <c r="K22">
        <f>G22*I22</f>
        <v/>
      </c>
    </row>
    <row r="23">
      <c r="A23" t="inlineStr">
        <is>
          <t>T2.5</t>
        </is>
      </c>
      <c r="B23" t="inlineStr">
        <is>
          <t>P2</t>
        </is>
      </c>
      <c r="C23" t="inlineStr">
        <is>
          <t>Event log + per-AAA index + activity query</t>
        </is>
      </c>
      <c r="D23" t="inlineStr">
        <is>
          <t>sonnet-5</t>
        </is>
      </c>
      <c r="E23" s="3" t="n">
        <v>46314</v>
      </c>
      <c r="F23" s="3" t="n">
        <v>46315</v>
      </c>
      <c r="G23" t="n">
        <v>2</v>
      </c>
      <c r="H23" t="inlineStr">
        <is>
          <t>T2.1</t>
        </is>
      </c>
      <c r="I23" s="4" t="n">
        <v>0</v>
      </c>
      <c r="J23">
        <f>IF(I23&gt;=1,"Done",IF(TODAY()&gt;F23,"Late",IF(I23&gt;0,"In progress","Not started")))</f>
        <v/>
      </c>
      <c r="K23">
        <f>G23*I23</f>
        <v/>
      </c>
    </row>
    <row r="24">
      <c r="A24" t="inlineStr">
        <is>
          <t>T2.6</t>
        </is>
      </c>
      <c r="B24" t="inlineStr">
        <is>
          <t>P2</t>
        </is>
      </c>
      <c r="C24" t="inlineStr">
        <is>
          <t>Public queries: stats, protocol, aaa_by_owner, a…</t>
        </is>
      </c>
      <c r="D24" t="inlineStr">
        <is>
          <t>haiku-4.5</t>
        </is>
      </c>
      <c r="E24" s="3" t="n">
        <v>46316</v>
      </c>
      <c r="F24" s="3" t="n">
        <v>46316</v>
      </c>
      <c r="G24" t="n">
        <v>1</v>
      </c>
      <c r="H24" t="inlineStr">
        <is>
          <t>T2.2</t>
        </is>
      </c>
      <c r="I24" s="4" t="n">
        <v>0</v>
      </c>
      <c r="J24">
        <f>IF(I24&gt;=1,"Done",IF(TODAY()&gt;F24,"Late",IF(I24&gt;0,"In progress","Not started")))</f>
        <v/>
      </c>
      <c r="K24">
        <f>G24*I24</f>
        <v/>
      </c>
    </row>
    <row r="25">
      <c r="A25" t="inlineStr">
        <is>
          <t>T2.8</t>
        </is>
      </c>
      <c r="B25" t="inlineStr">
        <is>
          <t>P2</t>
        </is>
      </c>
      <c r="C25" t="inlineStr">
        <is>
          <t>Submitter security: strict provenance, operator …</t>
        </is>
      </c>
      <c r="D25" t="inlineStr">
        <is>
          <t>opus-5.5 (high)</t>
        </is>
      </c>
      <c r="E25" s="3" t="n">
        <v>46316</v>
      </c>
      <c r="F25" s="3" t="n">
        <v>46318</v>
      </c>
      <c r="G25" t="n">
        <v>3</v>
      </c>
      <c r="H25" t="inlineStr">
        <is>
          <t>T2.2</t>
        </is>
      </c>
      <c r="I25" s="4" t="n">
        <v>0</v>
      </c>
      <c r="J25">
        <f>IF(I25&gt;=1,"Done",IF(TODAY()&gt;F25,"Late",IF(I25&gt;0,"In progress","Not started")))</f>
        <v/>
      </c>
      <c r="K25">
        <f>G25*I25</f>
        <v/>
      </c>
    </row>
    <row r="26">
      <c r="A26" t="inlineStr">
        <is>
          <t>T2.7</t>
        </is>
      </c>
      <c r="B26" t="inlineStr">
        <is>
          <t>P2</t>
        </is>
      </c>
      <c r="C26" t="inlineStr">
        <is>
          <t>Platform PocketIC tests (02 §11 #1-3)</t>
        </is>
      </c>
      <c r="D26" t="inlineStr">
        <is>
          <t>sonnet-5</t>
        </is>
      </c>
      <c r="E26" s="3" t="n">
        <v>46318</v>
      </c>
      <c r="F26" s="3" t="n">
        <v>46321</v>
      </c>
      <c r="G26" t="n">
        <v>2</v>
      </c>
      <c r="H26" t="inlineStr">
        <is>
          <t>T2.4,T1.4</t>
        </is>
      </c>
      <c r="I26" s="4" t="n">
        <v>0</v>
      </c>
      <c r="J26">
        <f>IF(I26&gt;=1,"Done",IF(TODAY()&gt;F26,"Late",IF(I26&gt;0,"In progress","Not started")))</f>
        <v/>
      </c>
      <c r="K26">
        <f>G26*I26</f>
        <v/>
      </c>
    </row>
    <row r="27">
      <c r="A27" t="inlineStr">
        <is>
          <t>T3.1</t>
        </is>
      </c>
      <c r="B27" t="inlineStr">
        <is>
          <t>P3</t>
        </is>
      </c>
      <c r="C27" t="inlineStr">
        <is>
          <t>AAA skeleton: roles, operators, config, inspect_…</t>
        </is>
      </c>
      <c r="D27" t="inlineStr">
        <is>
          <t>sonnet-5</t>
        </is>
      </c>
      <c r="E27" s="3" t="n">
        <v>46318</v>
      </c>
      <c r="F27" s="3" t="n">
        <v>46321</v>
      </c>
      <c r="G27" t="n">
        <v>2</v>
      </c>
      <c r="H27" t="inlineStr">
        <is>
          <t>T1.2</t>
        </is>
      </c>
      <c r="I27" s="4" t="n">
        <v>0</v>
      </c>
      <c r="J27">
        <f>IF(I27&gt;=1,"Done",IF(TODAY()&gt;F27,"Late",IF(I27&gt;0,"In progress","Not started")))</f>
        <v/>
      </c>
      <c r="K27">
        <f>G27*I27</f>
        <v/>
      </c>
    </row>
    <row r="28">
      <c r="A28" t="inlineStr">
        <is>
          <t>T3.2</t>
        </is>
      </c>
      <c r="B28" t="inlineStr">
        <is>
          <t>P3</t>
        </is>
      </c>
      <c r="C28" t="inlineStr">
        <is>
          <t>AAA forwarding w/ fees, retries, idempotency, lo…</t>
        </is>
      </c>
      <c r="D28" t="inlineStr">
        <is>
          <t>opus-5.5 (high)</t>
        </is>
      </c>
      <c r="E28" s="3" t="n">
        <v>46322</v>
      </c>
      <c r="F28" s="3" t="n">
        <v>46324</v>
      </c>
      <c r="G28" t="n">
        <v>3</v>
      </c>
      <c r="H28" t="inlineStr">
        <is>
          <t>T3.1,T2.4</t>
        </is>
      </c>
      <c r="I28" s="4" t="n">
        <v>0</v>
      </c>
      <c r="J28">
        <f>IF(I28&gt;=1,"Done",IF(TODAY()&gt;F28,"Late",IF(I28&gt;0,"In progress","Not started")))</f>
        <v/>
      </c>
      <c r="K28">
        <f>G28*I28</f>
        <v/>
      </c>
    </row>
    <row r="29">
      <c r="A29" t="inlineStr">
        <is>
          <t>T3.3</t>
        </is>
      </c>
      <c r="B29" t="inlineStr">
        <is>
          <t>P3</t>
        </is>
      </c>
      <c r="C29" t="inlineStr">
        <is>
          <t>AAA repository records + queries + credits copy</t>
        </is>
      </c>
      <c r="D29" t="inlineStr">
        <is>
          <t>haiku-4.5</t>
        </is>
      </c>
      <c r="E29" s="3" t="n">
        <v>46325</v>
      </c>
      <c r="F29" s="3" t="n">
        <v>46328</v>
      </c>
      <c r="G29" t="n">
        <v>2</v>
      </c>
      <c r="H29" t="inlineStr">
        <is>
          <t>T3.2</t>
        </is>
      </c>
      <c r="I29" s="4" t="n">
        <v>0</v>
      </c>
      <c r="J29">
        <f>IF(I29&gt;=1,"Done",IF(TODAY()&gt;F29,"Late",IF(I29&gt;0,"In progress","Not started")))</f>
        <v/>
      </c>
      <c r="K29">
        <f>G29*I29</f>
        <v/>
      </c>
    </row>
    <row r="30">
      <c r="A30" t="inlineStr">
        <is>
          <t>T3.4</t>
        </is>
      </c>
      <c r="B30" t="inlineStr">
        <is>
          <t>P3</t>
        </is>
      </c>
      <c r="C30" t="inlineStr">
        <is>
          <t>AAA timers: burn EMA, heartbeat, credits sync, a…</t>
        </is>
      </c>
      <c r="D30" t="inlineStr">
        <is>
          <t>sonnet-5</t>
        </is>
      </c>
      <c r="E30" s="3" t="n">
        <v>46329</v>
      </c>
      <c r="F30" s="3" t="n">
        <v>46330</v>
      </c>
      <c r="G30" t="n">
        <v>2</v>
      </c>
      <c r="H30" t="inlineStr">
        <is>
          <t>T3.3</t>
        </is>
      </c>
      <c r="I30" s="4" t="n">
        <v>0</v>
      </c>
      <c r="J30">
        <f>IF(I30&gt;=1,"Done",IF(TODAY()&gt;F30,"Late",IF(I30&gt;0,"In progress","Not started")))</f>
        <v/>
      </c>
      <c r="K30">
        <f>G30*I30</f>
        <v/>
      </c>
    </row>
    <row r="31">
      <c r="A31" t="inlineStr">
        <is>
          <t>T3.5</t>
        </is>
      </c>
      <c r="B31" t="inlineStr">
        <is>
          <t>P3</t>
        </is>
      </c>
      <c r="C31" t="inlineStr">
        <is>
          <t>get_api_doc + wasm size budget ≤1.5 MiB gz</t>
        </is>
      </c>
      <c r="D31" t="inlineStr">
        <is>
          <t>haiku-4.5</t>
        </is>
      </c>
      <c r="E31" s="3" t="n">
        <v>46325</v>
      </c>
      <c r="F31" s="3" t="n">
        <v>46325</v>
      </c>
      <c r="G31" t="n">
        <v>1</v>
      </c>
      <c r="H31" t="inlineStr">
        <is>
          <t>T3.2</t>
        </is>
      </c>
      <c r="I31" s="4" t="n">
        <v>0</v>
      </c>
      <c r="J31">
        <f>IF(I31&gt;=1,"Done",IF(TODAY()&gt;F31,"Late",IF(I31&gt;0,"In progress","Not started")))</f>
        <v/>
      </c>
      <c r="K31">
        <f>G31*I31</f>
        <v/>
      </c>
    </row>
    <row r="32">
      <c r="A32" t="inlineStr">
        <is>
          <t>T3.6</t>
        </is>
      </c>
      <c r="B32" t="inlineStr">
        <is>
          <t>P3</t>
        </is>
      </c>
      <c r="C32" t="inlineStr">
        <is>
          <t>AAA PocketIC tests (03 §8)</t>
        </is>
      </c>
      <c r="D32" t="inlineStr">
        <is>
          <t>sonnet-5</t>
        </is>
      </c>
      <c r="E32" s="3" t="n">
        <v>46331</v>
      </c>
      <c r="F32" s="3" t="n">
        <v>46332</v>
      </c>
      <c r="G32" t="n">
        <v>2</v>
      </c>
      <c r="H32" t="inlineStr">
        <is>
          <t>T3.4</t>
        </is>
      </c>
      <c r="I32" s="4" t="n">
        <v>0</v>
      </c>
      <c r="J32">
        <f>IF(I32&gt;=1,"Done",IF(TODAY()&gt;F32,"Late",IF(I32&gt;0,"In progress","Not started")))</f>
        <v/>
      </c>
      <c r="K32">
        <f>G32*I32</f>
        <v/>
      </c>
    </row>
    <row r="33">
      <c r="A33" t="inlineStr">
        <is>
          <t>T3.8</t>
        </is>
      </c>
      <c r="B33" t="inlineStr">
        <is>
          <t>P3</t>
        </is>
      </c>
      <c r="C33" t="inlineStr">
        <is>
          <t>Local seed script + dev loop (tools/seed-local)</t>
        </is>
      </c>
      <c r="D33" t="inlineStr">
        <is>
          <t>haiku-4.5</t>
        </is>
      </c>
      <c r="E33" s="3" t="n">
        <v>46325</v>
      </c>
      <c r="F33" s="3" t="n">
        <v>46325</v>
      </c>
      <c r="G33" t="n">
        <v>1</v>
      </c>
      <c r="H33" t="inlineStr">
        <is>
          <t>T2.2,T3.2,T1.7,T1.8</t>
        </is>
      </c>
      <c r="I33" s="4" t="n">
        <v>0</v>
      </c>
      <c r="J33">
        <f>IF(I33&gt;=1,"Done",IF(TODAY()&gt;F33,"Late",IF(I33&gt;0,"In progress","Not started")))</f>
        <v/>
      </c>
      <c r="K33">
        <f>G33*I33</f>
        <v/>
      </c>
    </row>
    <row r="34">
      <c r="A34" t="inlineStr">
        <is>
          <t>T3.7</t>
        </is>
      </c>
      <c r="B34" t="inlineStr">
        <is>
          <t>P3</t>
        </is>
      </c>
      <c r="C34" t="inlineStr">
        <is>
          <t>Operator skill + JWST protocol primer + analyze.…</t>
        </is>
      </c>
      <c r="D34" t="inlineStr">
        <is>
          <t>opus-5.5 (high)</t>
        </is>
      </c>
      <c r="E34" s="3" t="n">
        <v>46328</v>
      </c>
      <c r="F34" s="3" t="n">
        <v>46331</v>
      </c>
      <c r="G34" t="n">
        <v>4</v>
      </c>
      <c r="H34" t="inlineStr">
        <is>
          <t>T3.5,T1.7</t>
        </is>
      </c>
      <c r="I34" s="4" t="n">
        <v>0</v>
      </c>
      <c r="J34">
        <f>IF(I34&gt;=1,"Done",IF(TODAY()&gt;F34,"Late",IF(I34&gt;0,"In progress","Not started")))</f>
        <v/>
      </c>
      <c r="K34">
        <f>G34*I34</f>
        <v/>
      </c>
    </row>
    <row r="35">
      <c r="A35" t="inlineStr">
        <is>
          <t>T3.9</t>
        </is>
      </c>
      <c r="B35" t="inlineStr">
        <is>
          <t>P3</t>
        </is>
      </c>
      <c r="C35" t="inlineStr">
        <is>
          <t>Headless runner recipe + practice.py self-eval</t>
        </is>
      </c>
      <c r="D35" t="inlineStr">
        <is>
          <t>haiku-4.5</t>
        </is>
      </c>
      <c r="E35" s="3" t="n">
        <v>46332</v>
      </c>
      <c r="F35" s="3" t="n">
        <v>46332</v>
      </c>
      <c r="G35" t="n">
        <v>1</v>
      </c>
      <c r="H35" t="inlineStr">
        <is>
          <t>T3.7</t>
        </is>
      </c>
      <c r="I35" s="4" t="n">
        <v>0</v>
      </c>
      <c r="J35">
        <f>IF(I35&gt;=1,"Done",IF(TODAY()&gt;F35,"Late",IF(I35&gt;0,"In progress","Not started")))</f>
        <v/>
      </c>
      <c r="K35">
        <f>G35*I35</f>
        <v/>
      </c>
    </row>
    <row r="36">
      <c r="A36" t="inlineStr">
        <is>
          <t>T4.3</t>
        </is>
      </c>
      <c r="B36" t="inlineStr">
        <is>
          <t>P4</t>
        </is>
      </c>
      <c r="C36" t="inlineStr">
        <is>
          <t>Progression: XP, reputation, tiers, badges, lead…</t>
        </is>
      </c>
      <c r="D36" t="inlineStr">
        <is>
          <t>sonnet-5</t>
        </is>
      </c>
      <c r="E36" s="3" t="n">
        <v>46328</v>
      </c>
      <c r="F36" s="3" t="n">
        <v>46331</v>
      </c>
      <c r="G36" t="n">
        <v>4</v>
      </c>
      <c r="H36" t="inlineStr">
        <is>
          <t>T2.5,T2.7</t>
        </is>
      </c>
      <c r="I36" s="4" t="n">
        <v>0</v>
      </c>
      <c r="J36">
        <f>IF(I36&gt;=1,"Done",IF(TODAY()&gt;F36,"Late",IF(I36&gt;0,"In progress","Not started")))</f>
        <v/>
      </c>
      <c r="K36">
        <f>G36*I36</f>
        <v/>
      </c>
    </row>
    <row r="37">
      <c r="A37" t="inlineStr">
        <is>
          <t>T4.1</t>
        </is>
      </c>
      <c r="B37" t="inlineStr">
        <is>
          <t>P4</t>
        </is>
      </c>
      <c r="C37" t="inlineStr">
        <is>
          <t>Discoveries: flagging, rate limit, public IDs</t>
        </is>
      </c>
      <c r="D37" t="inlineStr">
        <is>
          <t>sonnet-5</t>
        </is>
      </c>
      <c r="E37" s="3" t="n">
        <v>46332</v>
      </c>
      <c r="F37" s="3" t="n">
        <v>46335</v>
      </c>
      <c r="G37" t="n">
        <v>2</v>
      </c>
      <c r="H37" t="inlineStr">
        <is>
          <t>T2.4</t>
        </is>
      </c>
      <c r="I37" s="4" t="n">
        <v>0</v>
      </c>
      <c r="J37">
        <f>IF(I37&gt;=1,"Done",IF(TODAY()&gt;F37,"Late",IF(I37&gt;0,"In progress","Not started")))</f>
        <v/>
      </c>
      <c r="K37">
        <f>G37*I37</f>
        <v/>
      </c>
    </row>
    <row r="38">
      <c r="A38" t="inlineStr">
        <is>
          <t>T4.9</t>
        </is>
      </c>
      <c r="B38" t="inlineStr">
        <is>
          <t>P4</t>
        </is>
      </c>
      <c r="C38" t="inlineStr">
        <is>
          <t>First-claim rule: sky claim index + corroboratio…</t>
        </is>
      </c>
      <c r="D38" t="inlineStr">
        <is>
          <t>opus-5.5 (high)</t>
        </is>
      </c>
      <c r="E38" s="3" t="n">
        <v>46336</v>
      </c>
      <c r="F38" s="3" t="n">
        <v>46337</v>
      </c>
      <c r="G38" t="n">
        <v>2</v>
      </c>
      <c r="H38" t="inlineStr">
        <is>
          <t>T4.1</t>
        </is>
      </c>
      <c r="I38" s="4" t="n">
        <v>0</v>
      </c>
      <c r="J38">
        <f>IF(I38&gt;=1,"Done",IF(TODAY()&gt;F38,"Late",IF(I38&gt;0,"In progress","Not started")))</f>
        <v/>
      </c>
      <c r="K38">
        <f>G38*I38</f>
        <v/>
      </c>
    </row>
    <row r="39">
      <c r="A39" t="inlineStr">
        <is>
          <t>T4.2</t>
        </is>
      </c>
      <c r="B39" t="inlineStr">
        <is>
          <t>P4</t>
        </is>
      </c>
      <c r="C39" t="inlineStr">
        <is>
          <t>Review assignment: eligibility, blind, leases, h…</t>
        </is>
      </c>
      <c r="D39" t="inlineStr">
        <is>
          <t>opus-5.5 (high)</t>
        </is>
      </c>
      <c r="E39" s="3" t="n">
        <v>46336</v>
      </c>
      <c r="F39" s="3" t="n">
        <v>46338</v>
      </c>
      <c r="G39" t="n">
        <v>3</v>
      </c>
      <c r="H39" t="inlineStr">
        <is>
          <t>T4.1,T4.3</t>
        </is>
      </c>
      <c r="I39" s="4" t="n">
        <v>0</v>
      </c>
      <c r="J39">
        <f>IF(I39&gt;=1,"Done",IF(TODAY()&gt;F39,"Late",IF(I39&gt;0,"In progress","Not started")))</f>
        <v/>
      </c>
      <c r="K39">
        <f>G39*I39</f>
        <v/>
      </c>
    </row>
    <row r="40">
      <c r="A40" t="inlineStr">
        <is>
          <t>T4.4</t>
        </is>
      </c>
      <c r="B40" t="inlineStr">
        <is>
          <t>P4</t>
        </is>
      </c>
      <c r="C40" t="inlineStr">
        <is>
          <t>evaluate(), atomic resolution, starvation rule</t>
        </is>
      </c>
      <c r="D40" t="inlineStr">
        <is>
          <t>opus-5.5 (high)</t>
        </is>
      </c>
      <c r="E40" s="3" t="n">
        <v>46339</v>
      </c>
      <c r="F40" s="3" t="n">
        <v>46343</v>
      </c>
      <c r="G40" t="n">
        <v>3</v>
      </c>
      <c r="H40" t="inlineStr">
        <is>
          <t>T4.2</t>
        </is>
      </c>
      <c r="I40" s="4" t="n">
        <v>0</v>
      </c>
      <c r="J40">
        <f>IF(I40&gt;=1,"Done",IF(TODAY()&gt;F40,"Late",IF(I40&gt;0,"In progress","Not started")))</f>
        <v/>
      </c>
      <c r="K40">
        <f>G40*I40</f>
        <v/>
      </c>
    </row>
    <row r="41">
      <c r="A41" t="inlineStr">
        <is>
          <t>T4.5</t>
        </is>
      </c>
      <c r="B41" t="inlineStr">
        <is>
          <t>P4</t>
        </is>
      </c>
      <c r="C41" t="inlineStr">
        <is>
          <t>Citations + certification tree + get_citation</t>
        </is>
      </c>
      <c r="D41" t="inlineStr">
        <is>
          <t>opus-5.5 (high)</t>
        </is>
      </c>
      <c r="E41" s="3" t="n">
        <v>46344</v>
      </c>
      <c r="F41" s="3" t="n">
        <v>46346</v>
      </c>
      <c r="G41" t="n">
        <v>3</v>
      </c>
      <c r="H41" t="inlineStr">
        <is>
          <t>T4.4</t>
        </is>
      </c>
      <c r="I41" s="4" t="n">
        <v>0</v>
      </c>
      <c r="J41">
        <f>IF(I41&gt;=1,"Done",IF(TODAY()&gt;F41,"Late",IF(I41&gt;0,"In progress","Not started")))</f>
        <v/>
      </c>
      <c r="K41">
        <f>G41*I41</f>
        <v/>
      </c>
    </row>
    <row r="42">
      <c r="A42" t="inlineStr">
        <is>
          <t>T4.6</t>
        </is>
      </c>
      <c r="B42" t="inlineStr">
        <is>
          <t>P4</t>
        </is>
      </c>
      <c r="C42" t="inlineStr">
        <is>
          <t>Visibility rules &amp; public discovery queries</t>
        </is>
      </c>
      <c r="D42" t="inlineStr">
        <is>
          <t>sonnet-5</t>
        </is>
      </c>
      <c r="E42" s="3" t="n">
        <v>46349</v>
      </c>
      <c r="F42" s="3" t="n">
        <v>46350</v>
      </c>
      <c r="G42" t="n">
        <v>2</v>
      </c>
      <c r="H42" t="inlineStr">
        <is>
          <t>T4.5</t>
        </is>
      </c>
      <c r="I42" s="4" t="n">
        <v>0</v>
      </c>
      <c r="J42">
        <f>IF(I42&gt;=1,"Done",IF(TODAY()&gt;F42,"Late",IF(I42&gt;0,"In progress","Not started")))</f>
        <v/>
      </c>
      <c r="K42">
        <f>G42*I42</f>
        <v/>
      </c>
    </row>
    <row r="43">
      <c r="A43" t="inlineStr">
        <is>
          <t>T4.7</t>
        </is>
      </c>
      <c r="B43" t="inlineStr">
        <is>
          <t>P4</t>
        </is>
      </c>
      <c r="C43" t="inlineStr">
        <is>
          <t>Honeypot seeding (120 specs)</t>
        </is>
      </c>
      <c r="D43" t="inlineStr">
        <is>
          <t>haiku-4.5</t>
        </is>
      </c>
      <c r="E43" s="3" t="n">
        <v>46339</v>
      </c>
      <c r="F43" s="3" t="n">
        <v>46339</v>
      </c>
      <c r="G43" t="n">
        <v>1</v>
      </c>
      <c r="H43" t="inlineStr">
        <is>
          <t>T4.2,T1.7</t>
        </is>
      </c>
      <c r="I43" s="4" t="n">
        <v>0</v>
      </c>
      <c r="J43">
        <f>IF(I43&gt;=1,"Done",IF(TODAY()&gt;F43,"Late",IF(I43&gt;0,"In progress","Not started")))</f>
        <v/>
      </c>
      <c r="K43">
        <f>G43*I43</f>
        <v/>
      </c>
    </row>
    <row r="44">
      <c r="A44" t="inlineStr">
        <is>
          <t>T4.10</t>
        </is>
      </c>
      <c r="B44" t="inlineStr">
        <is>
          <t>P4</t>
        </is>
      </c>
      <c r="C44" t="inlineStr">
        <is>
          <t>Admin read APIs + audit log (platform)</t>
        </is>
      </c>
      <c r="D44" t="inlineStr">
        <is>
          <t>haiku-4.5</t>
        </is>
      </c>
      <c r="E44" s="3" t="n">
        <v>46351</v>
      </c>
      <c r="F44" s="3" t="n">
        <v>46356</v>
      </c>
      <c r="G44" t="n">
        <v>2</v>
      </c>
      <c r="H44" t="inlineStr">
        <is>
          <t>T4.6</t>
        </is>
      </c>
      <c r="I44" s="4" t="n">
        <v>0</v>
      </c>
      <c r="J44">
        <f>IF(I44&gt;=1,"Done",IF(TODAY()&gt;F44,"Late",IF(I44&gt;0,"In progress","Not started")))</f>
        <v/>
      </c>
      <c r="K44">
        <f>G44*I44</f>
        <v/>
      </c>
    </row>
    <row r="45">
      <c r="A45" t="inlineStr">
        <is>
          <t>T4.11</t>
        </is>
      </c>
      <c r="B45" t="inlineStr">
        <is>
          <t>P4</t>
        </is>
      </c>
      <c r="C45" t="inlineStr">
        <is>
          <t>Name blocklist, admin_rename_aaa, house AAAs</t>
        </is>
      </c>
      <c r="D45" t="inlineStr">
        <is>
          <t>haiku-4.5</t>
        </is>
      </c>
      <c r="E45" s="3" t="n">
        <v>46357</v>
      </c>
      <c r="F45" s="3" t="n">
        <v>46357</v>
      </c>
      <c r="G45" t="n">
        <v>1</v>
      </c>
      <c r="H45" t="inlineStr">
        <is>
          <t>T4.10</t>
        </is>
      </c>
      <c r="I45" s="4" t="n">
        <v>0</v>
      </c>
      <c r="J45">
        <f>IF(I45&gt;=1,"Done",IF(TODAY()&gt;F45,"Late",IF(I45&gt;0,"In progress","Not started")))</f>
        <v/>
      </c>
      <c r="K45">
        <f>G45*I45</f>
        <v/>
      </c>
    </row>
    <row r="46">
      <c r="A46" t="inlineStr">
        <is>
          <t>T4.8</t>
        </is>
      </c>
      <c r="B46" t="inlineStr">
        <is>
          <t>P4</t>
        </is>
      </c>
      <c r="C46" t="inlineStr">
        <is>
          <t>Review/credits tests + proptests (02 §11 #4-9)</t>
        </is>
      </c>
      <c r="D46" t="inlineStr">
        <is>
          <t>sonnet-5</t>
        </is>
      </c>
      <c r="E46" s="3" t="n">
        <v>46351</v>
      </c>
      <c r="F46" s="3" t="n">
        <v>46357</v>
      </c>
      <c r="G46" t="n">
        <v>3</v>
      </c>
      <c r="H46" t="inlineStr">
        <is>
          <t>T4.6,T4.9</t>
        </is>
      </c>
      <c r="I46" s="4" t="n">
        <v>0</v>
      </c>
      <c r="J46">
        <f>IF(I46&gt;=1,"Done",IF(TODAY()&gt;F46,"Late",IF(I46&gt;0,"In progress","Not started")))</f>
        <v/>
      </c>
      <c r="K46">
        <f>G46*I46</f>
        <v/>
      </c>
    </row>
    <row r="47">
      <c r="A47" t="inlineStr">
        <is>
          <t>T5.1</t>
        </is>
      </c>
      <c r="B47" t="inlineStr">
        <is>
          <t>P5</t>
        </is>
      </c>
      <c r="C47" t="inlineStr">
        <is>
          <t>payments skeleton: config, journal, guards, admin</t>
        </is>
      </c>
      <c r="D47" t="inlineStr">
        <is>
          <t>sonnet-5</t>
        </is>
      </c>
      <c r="E47" s="3" t="n">
        <v>46336</v>
      </c>
      <c r="F47" s="3" t="n">
        <v>46337</v>
      </c>
      <c r="G47" t="n">
        <v>2</v>
      </c>
      <c r="H47" t="inlineStr">
        <is>
          <t>T1.2,SP-1</t>
        </is>
      </c>
      <c r="I47" s="4" t="n">
        <v>0</v>
      </c>
      <c r="J47">
        <f>IF(I47&gt;=1,"Done",IF(TODAY()&gt;F47,"Late",IF(I47&gt;0,"In progress","Not started")))</f>
        <v/>
      </c>
      <c r="K47">
        <f>G47*I47</f>
        <v/>
      </c>
    </row>
    <row r="48">
      <c r="A48" t="inlineStr">
        <is>
          <t>T5.2</t>
        </is>
      </c>
      <c r="B48" t="inlineStr">
        <is>
          <t>P5</t>
        </is>
      </c>
      <c r="C48" t="inlineStr">
        <is>
          <t>CMC integration, XDR cache, quotes, deposit acco…</t>
        </is>
      </c>
      <c r="D48" t="inlineStr">
        <is>
          <t>sonnet-5</t>
        </is>
      </c>
      <c r="E48" s="3" t="n">
        <v>46338</v>
      </c>
      <c r="F48" s="3" t="n">
        <v>46339</v>
      </c>
      <c r="G48" t="n">
        <v>2</v>
      </c>
      <c r="H48" t="inlineStr">
        <is>
          <t>T5.1</t>
        </is>
      </c>
      <c r="I48" s="4" t="n">
        <v>0</v>
      </c>
      <c r="J48">
        <f>IF(I48&gt;=1,"Done",IF(TODAY()&gt;F48,"Late",IF(I48&gt;0,"In progress","Not started")))</f>
        <v/>
      </c>
      <c r="K48">
        <f>G48*I48</f>
        <v/>
      </c>
    </row>
    <row r="49">
      <c r="A49" t="inlineStr">
        <is>
          <t>T5.3</t>
        </is>
      </c>
      <c r="B49" t="inlineStr">
        <is>
          <t>P5</t>
        </is>
      </c>
      <c r="C49" t="inlineStr">
        <is>
          <t>Spawn saga (wallet + deposit) + resume timer</t>
        </is>
      </c>
      <c r="D49" t="inlineStr">
        <is>
          <t>opus-5.5 (high)</t>
        </is>
      </c>
      <c r="E49" s="3" t="n">
        <v>46342</v>
      </c>
      <c r="F49" s="3" t="n">
        <v>46345</v>
      </c>
      <c r="G49" t="n">
        <v>4</v>
      </c>
      <c r="H49" t="inlineStr">
        <is>
          <t>T5.2,T2.2</t>
        </is>
      </c>
      <c r="I49" s="4" t="n">
        <v>0</v>
      </c>
      <c r="J49">
        <f>IF(I49&gt;=1,"Done",IF(TODAY()&gt;F49,"Late",IF(I49&gt;0,"In progress","Not started")))</f>
        <v/>
      </c>
      <c r="K49">
        <f>G49*I49</f>
        <v/>
      </c>
    </row>
    <row r="50">
      <c r="A50" t="inlineStr">
        <is>
          <t>T5.4</t>
        </is>
      </c>
      <c r="B50" t="inlineStr">
        <is>
          <t>P5</t>
        </is>
      </c>
      <c r="C50" t="inlineStr">
        <is>
          <t>One-time top-up (wallet + deposit sweep)</t>
        </is>
      </c>
      <c r="D50" t="inlineStr">
        <is>
          <t>sonnet-5</t>
        </is>
      </c>
      <c r="E50" s="3" t="n">
        <v>46346</v>
      </c>
      <c r="F50" s="3" t="n">
        <v>46349</v>
      </c>
      <c r="G50" t="n">
        <v>2</v>
      </c>
      <c r="H50" t="inlineStr">
        <is>
          <t>T5.2</t>
        </is>
      </c>
      <c r="I50" s="4" t="n">
        <v>0</v>
      </c>
      <c r="J50">
        <f>IF(I50&gt;=1,"Done",IF(TODAY()&gt;F50,"Late",IF(I50&gt;0,"In progress","Not started")))</f>
        <v/>
      </c>
      <c r="K50">
        <f>G50*I50</f>
        <v/>
      </c>
    </row>
    <row r="51">
      <c r="A51" t="inlineStr">
        <is>
          <t>T5.5</t>
        </is>
      </c>
      <c r="B51" t="inlineStr">
        <is>
          <t>P5</t>
        </is>
      </c>
      <c r="C51" t="inlineStr">
        <is>
          <t>Auto top-up mandates, rolling 30-day cap</t>
        </is>
      </c>
      <c r="D51" t="inlineStr">
        <is>
          <t>sonnet-5</t>
        </is>
      </c>
      <c r="E51" s="3" t="n">
        <v>46350</v>
      </c>
      <c r="F51" s="3" t="n">
        <v>46356</v>
      </c>
      <c r="G51" t="n">
        <v>3</v>
      </c>
      <c r="H51" t="inlineStr">
        <is>
          <t>T5.4,T3.4</t>
        </is>
      </c>
      <c r="I51" s="4" t="n">
        <v>0</v>
      </c>
      <c r="J51">
        <f>IF(I51&gt;=1,"Done",IF(TODAY()&gt;F51,"Late",IF(I51&gt;0,"In progress","Not started")))</f>
        <v/>
      </c>
      <c r="K51">
        <f>G51*I51</f>
        <v/>
      </c>
    </row>
    <row r="52">
      <c r="A52" t="inlineStr">
        <is>
          <t>T5.6</t>
        </is>
      </c>
      <c r="B52" t="inlineStr">
        <is>
          <t>P5</t>
        </is>
      </c>
      <c r="C52" t="inlineStr">
        <is>
          <t>Payments PocketIC tests — ICP paths (04 §5)</t>
        </is>
      </c>
      <c r="D52" t="inlineStr">
        <is>
          <t>sonnet-5</t>
        </is>
      </c>
      <c r="E52" s="3" t="n">
        <v>46357</v>
      </c>
      <c r="F52" s="3" t="n">
        <v>46359</v>
      </c>
      <c r="G52" t="n">
        <v>3</v>
      </c>
      <c r="H52" t="inlineStr">
        <is>
          <t>T5.3,T5.5</t>
        </is>
      </c>
      <c r="I52" s="4" t="n">
        <v>0</v>
      </c>
      <c r="J52">
        <f>IF(I52&gt;=1,"Done",IF(TODAY()&gt;F52,"Late",IF(I52&gt;0,"In progress","Not started")))</f>
        <v/>
      </c>
      <c r="K52">
        <f>G52*I52</f>
        <v/>
      </c>
    </row>
    <row r="53">
      <c r="A53" t="inlineStr">
        <is>
          <t>T5.8</t>
        </is>
      </c>
      <c r="B53" t="inlineStr">
        <is>
          <t>P5</t>
        </is>
      </c>
      <c r="C53" t="inlineStr">
        <is>
          <t>XRC rates, fuel treasury guard rails + auto inta…</t>
        </is>
      </c>
      <c r="D53" t="inlineStr">
        <is>
          <t>opus-5.5 (high)</t>
        </is>
      </c>
      <c r="E53" s="3" t="n">
        <v>46358</v>
      </c>
      <c r="F53" s="3" t="n">
        <v>46363</v>
      </c>
      <c r="G53" t="n">
        <v>4</v>
      </c>
      <c r="H53" t="inlineStr">
        <is>
          <t>T5.2</t>
        </is>
      </c>
      <c r="I53" s="4" t="n">
        <v>0</v>
      </c>
      <c r="J53">
        <f>IF(I53&gt;=1,"Done",IF(TODAY()&gt;F53,"Late",IF(I53&gt;0,"In progress","Not started")))</f>
        <v/>
      </c>
      <c r="K53">
        <f>G53*I53</f>
        <v/>
      </c>
    </row>
    <row r="54">
      <c r="A54" t="inlineStr">
        <is>
          <t>T5.12</t>
        </is>
      </c>
      <c r="B54" t="inlineStr">
        <is>
          <t>P5</t>
        </is>
      </c>
      <c r="C54" t="inlineStr">
        <is>
          <t>stripe_credit endpoint (flag-gated, mock-relay t…</t>
        </is>
      </c>
      <c r="D54" t="inlineStr">
        <is>
          <t>haiku-4.5</t>
        </is>
      </c>
      <c r="E54" s="3" t="n">
        <v>46364</v>
      </c>
      <c r="F54" s="3" t="n">
        <v>46365</v>
      </c>
      <c r="G54" t="n">
        <v>2</v>
      </c>
      <c r="H54" t="inlineStr">
        <is>
          <t>T5.8</t>
        </is>
      </c>
      <c r="I54" s="4" t="n">
        <v>0</v>
      </c>
      <c r="J54">
        <f>IF(I54&gt;=1,"Done",IF(TODAY()&gt;F54,"Late",IF(I54&gt;0,"In progress","Not started")))</f>
        <v/>
      </c>
      <c r="K54">
        <f>G54*I54</f>
        <v/>
      </c>
    </row>
    <row r="55">
      <c r="A55" t="inlineStr">
        <is>
          <t>T5.9</t>
        </is>
      </c>
      <c r="B55" t="inlineStr">
        <is>
          <t>P5</t>
        </is>
      </c>
      <c r="C55" t="inlineStr">
        <is>
          <t>ckBTC fuel-pack deposits (address, update_balanc…</t>
        </is>
      </c>
      <c r="D55" t="inlineStr">
        <is>
          <t>opus-5.5 (high)</t>
        </is>
      </c>
      <c r="E55" s="3" t="n">
        <v>46364</v>
      </c>
      <c r="F55" s="3" t="n">
        <v>46366</v>
      </c>
      <c r="G55" t="n">
        <v>3</v>
      </c>
      <c r="H55" t="inlineStr">
        <is>
          <t>T5.8</t>
        </is>
      </c>
      <c r="I55" s="4" t="n">
        <v>0</v>
      </c>
      <c r="J55">
        <f>IF(I55&gt;=1,"Done",IF(TODAY()&gt;F55,"Late",IF(I55&gt;0,"In progress","Not started")))</f>
        <v/>
      </c>
      <c r="K55">
        <f>G55*I55</f>
        <v/>
      </c>
    </row>
    <row r="56">
      <c r="A56" t="inlineStr">
        <is>
          <t>T5.10</t>
        </is>
      </c>
      <c r="B56" t="inlineStr">
        <is>
          <t>P5</t>
        </is>
      </c>
      <c r="C56" t="inlineStr">
        <is>
          <t>ckETH fuel-pack deposits</t>
        </is>
      </c>
      <c r="D56" t="inlineStr">
        <is>
          <t>sonnet-5</t>
        </is>
      </c>
      <c r="E56" s="3" t="n">
        <v>46364</v>
      </c>
      <c r="F56" s="3" t="n">
        <v>46365</v>
      </c>
      <c r="G56" t="n">
        <v>2</v>
      </c>
      <c r="H56" t="inlineStr">
        <is>
          <t>T5.8,SP-6</t>
        </is>
      </c>
      <c r="I56" s="4" t="n">
        <v>0</v>
      </c>
      <c r="J56">
        <f>IF(I56&gt;=1,"Done",IF(TODAY()&gt;F56,"Late",IF(I56&gt;0,"In progress","Not started")))</f>
        <v/>
      </c>
      <c r="K56">
        <f>G56*I56</f>
        <v/>
      </c>
    </row>
    <row r="57">
      <c r="A57" t="inlineStr">
        <is>
          <t>T5.13</t>
        </is>
      </c>
      <c r="B57" t="inlineStr">
        <is>
          <t>P5</t>
        </is>
      </c>
      <c r="C57" t="inlineStr">
        <is>
          <t>Non-ICP payment tests (04 §6.7)</t>
        </is>
      </c>
      <c r="D57" t="inlineStr">
        <is>
          <t>sonnet-5</t>
        </is>
      </c>
      <c r="E57" s="3" t="n">
        <v>46367</v>
      </c>
      <c r="F57" s="3" t="n">
        <v>46370</v>
      </c>
      <c r="G57" t="n">
        <v>2</v>
      </c>
      <c r="H57" t="inlineStr">
        <is>
          <t>T5.9,T5.10,T5.12</t>
        </is>
      </c>
      <c r="I57" s="4" t="n">
        <v>0</v>
      </c>
      <c r="J57">
        <f>IF(I57&gt;=1,"Done",IF(TODAY()&gt;F57,"Late",IF(I57&gt;0,"In progress","Not started")))</f>
        <v/>
      </c>
      <c r="K57">
        <f>G57*I57</f>
        <v/>
      </c>
    </row>
    <row r="58">
      <c r="A58" t="inlineStr">
        <is>
          <t>T5.15</t>
        </is>
      </c>
      <c r="B58" t="inlineStr">
        <is>
          <t>P5</t>
        </is>
      </c>
      <c r="C58" t="inlineStr">
        <is>
          <t>Payments admin APIs + audit log</t>
        </is>
      </c>
      <c r="D58" t="inlineStr">
        <is>
          <t>haiku-4.5</t>
        </is>
      </c>
      <c r="E58" s="3" t="n">
        <v>46371</v>
      </c>
      <c r="F58" s="3" t="n">
        <v>46371</v>
      </c>
      <c r="G58" t="n">
        <v>1</v>
      </c>
      <c r="H58" t="inlineStr">
        <is>
          <t>T5.13</t>
        </is>
      </c>
      <c r="I58" s="4" t="n">
        <v>0</v>
      </c>
      <c r="J58">
        <f>IF(I58&gt;=1,"Done",IF(TODAY()&gt;F58,"Late",IF(I58&gt;0,"In progress","Not started")))</f>
        <v/>
      </c>
      <c r="K58">
        <f>G58*I58</f>
        <v/>
      </c>
    </row>
    <row r="59">
      <c r="A59" t="inlineStr">
        <is>
          <t>T5.16</t>
        </is>
      </c>
      <c r="B59" t="inlineStr">
        <is>
          <t>P5</t>
        </is>
      </c>
      <c r="C59" t="inlineStr">
        <is>
          <t>Feature flags + invite codes (sponsored spawn)</t>
        </is>
      </c>
      <c r="D59" t="inlineStr">
        <is>
          <t>sonnet-5</t>
        </is>
      </c>
      <c r="E59" s="3" t="n">
        <v>46366</v>
      </c>
      <c r="F59" s="3" t="n">
        <v>46367</v>
      </c>
      <c r="G59" t="n">
        <v>2</v>
      </c>
      <c r="H59" t="inlineStr">
        <is>
          <t>T5.3</t>
        </is>
      </c>
      <c r="I59" s="4" t="n">
        <v>0</v>
      </c>
      <c r="J59">
        <f>IF(I59&gt;=1,"Done",IF(TODAY()&gt;F59,"Late",IF(I59&gt;0,"In progress","Not started")))</f>
        <v/>
      </c>
      <c r="K59">
        <f>G59*I59</f>
        <v/>
      </c>
    </row>
    <row r="60">
      <c r="A60" t="inlineStr">
        <is>
          <t>T5.17</t>
        </is>
      </c>
      <c r="B60" t="inlineStr">
        <is>
          <t>P5</t>
        </is>
      </c>
      <c r="C60" t="inlineStr">
        <is>
          <t>treasury canister: owner-funded reserve, cycles …</t>
        </is>
      </c>
      <c r="D60" t="inlineStr">
        <is>
          <t>opus-5.5 (high)</t>
        </is>
      </c>
      <c r="E60" s="3" t="n">
        <v>46367</v>
      </c>
      <c r="F60" s="3" t="n">
        <v>46371</v>
      </c>
      <c r="G60" t="n">
        <v>3</v>
      </c>
      <c r="H60" t="inlineStr">
        <is>
          <t>T2.1,T1.4</t>
        </is>
      </c>
      <c r="I60" s="4" t="n">
        <v>0</v>
      </c>
      <c r="J60">
        <f>IF(I60&gt;=1,"Done",IF(TODAY()&gt;F60,"Late",IF(I60&gt;0,"In progress","Not started")))</f>
        <v/>
      </c>
      <c r="K60">
        <f>G60*I60</f>
        <v/>
      </c>
    </row>
    <row r="61">
      <c r="A61" t="inlineStr">
        <is>
          <t>T5.18</t>
        </is>
      </c>
      <c r="B61" t="inlineStr">
        <is>
          <t>P5</t>
        </is>
      </c>
      <c r="C61" t="inlineStr">
        <is>
          <t>treasury PocketIC tests (ICP ledger + CMC, no NN…</t>
        </is>
      </c>
      <c r="D61" t="inlineStr">
        <is>
          <t>sonnet-5</t>
        </is>
      </c>
      <c r="E61" s="3" t="n">
        <v>46372</v>
      </c>
      <c r="F61" s="3" t="n">
        <v>46372</v>
      </c>
      <c r="G61" t="n">
        <v>1</v>
      </c>
      <c r="H61" t="inlineStr">
        <is>
          <t>T5.17</t>
        </is>
      </c>
      <c r="I61" s="4" t="n">
        <v>0</v>
      </c>
      <c r="J61">
        <f>IF(I61&gt;=1,"Done",IF(TODAY()&gt;F61,"Late",IF(I61&gt;0,"In progress","Not started")))</f>
        <v/>
      </c>
      <c r="K61">
        <f>G61*I61</f>
        <v/>
      </c>
    </row>
    <row r="62">
      <c r="A62" t="inlineStr">
        <is>
          <t>T5.7</t>
        </is>
      </c>
      <c r="B62" t="inlineStr">
        <is>
          <t>P5</t>
        </is>
      </c>
      <c r="C62" t="inlineStr">
        <is>
          <t>Internal payments security review</t>
        </is>
      </c>
      <c r="D62" t="inlineStr">
        <is>
          <t>opus-5.5 (high)</t>
        </is>
      </c>
      <c r="E62" s="3" t="n">
        <v>46371</v>
      </c>
      <c r="F62" s="3" t="n">
        <v>46372</v>
      </c>
      <c r="G62" t="n">
        <v>2</v>
      </c>
      <c r="H62" t="inlineStr">
        <is>
          <t>T5.6,T5.13,T5.16</t>
        </is>
      </c>
      <c r="I62" s="4" t="n">
        <v>0</v>
      </c>
      <c r="J62">
        <f>IF(I62&gt;=1,"Done",IF(TODAY()&gt;F62,"Late",IF(I62&gt;0,"In progress","Not started")))</f>
        <v/>
      </c>
      <c r="K62">
        <f>G62*I62</f>
        <v/>
      </c>
    </row>
    <row r="63">
      <c r="A63" t="inlineStr">
        <is>
          <t>T6.1</t>
        </is>
      </c>
      <c r="B63" t="inlineStr">
        <is>
          <t>P6</t>
        </is>
      </c>
      <c r="C63" t="inlineStr">
        <is>
          <t>App scaffold: routing, bindgen, II auth, ic_env,…</t>
        </is>
      </c>
      <c r="D63" t="inlineStr">
        <is>
          <t>sonnet-5</t>
        </is>
      </c>
      <c r="E63" s="3" t="n">
        <v>46372</v>
      </c>
      <c r="F63" s="3" t="n">
        <v>46374</v>
      </c>
      <c r="G63" t="n">
        <v>3</v>
      </c>
      <c r="H63" t="inlineStr">
        <is>
          <t>T1.1</t>
        </is>
      </c>
      <c r="I63" s="4" t="n">
        <v>0</v>
      </c>
      <c r="J63">
        <f>IF(I63&gt;=1,"Done",IF(TODAY()&gt;F63,"Late",IF(I63&gt;0,"In progress","Not started")))</f>
        <v/>
      </c>
      <c r="K63">
        <f>G63*I63</f>
        <v/>
      </c>
    </row>
    <row r="64">
      <c r="A64" t="inlineStr">
        <is>
          <t>T6.3</t>
        </is>
      </c>
      <c r="B64" t="inlineStr">
        <is>
          <t>P6</t>
        </is>
      </c>
      <c r="C64" t="inlineStr">
        <is>
          <t>Landing, Discovery Museum feed, Discovery detail…</t>
        </is>
      </c>
      <c r="D64" t="inlineStr">
        <is>
          <t>sonnet-5</t>
        </is>
      </c>
      <c r="E64" s="3" t="n">
        <v>46377</v>
      </c>
      <c r="F64" s="3" t="n">
        <v>46385</v>
      </c>
      <c r="G64" t="n">
        <v>5</v>
      </c>
      <c r="H64" t="inlineStr">
        <is>
          <t>T6.1</t>
        </is>
      </c>
      <c r="I64" s="4" t="n">
        <v>0</v>
      </c>
      <c r="J64">
        <f>IF(I64&gt;=1,"Done",IF(TODAY()&gt;F64,"Late",IF(I64&gt;0,"In progress","Not started")))</f>
        <v/>
      </c>
      <c r="K64">
        <f>G64*I64</f>
        <v/>
      </c>
    </row>
    <row r="65">
      <c r="A65" t="inlineStr">
        <is>
          <t>T6.4</t>
        </is>
      </c>
      <c r="B65" t="inlineStr">
        <is>
          <t>P6</t>
        </is>
      </c>
      <c r="C65" t="inlineStr">
        <is>
          <t>AAA profile + Leaderboard</t>
        </is>
      </c>
      <c r="D65" t="inlineStr">
        <is>
          <t>haiku-4.5</t>
        </is>
      </c>
      <c r="E65" s="3" t="n">
        <v>46386</v>
      </c>
      <c r="F65" s="3" t="n">
        <v>46392</v>
      </c>
      <c r="G65" t="n">
        <v>3</v>
      </c>
      <c r="H65" t="inlineStr">
        <is>
          <t>T6.3</t>
        </is>
      </c>
      <c r="I65" s="4" t="n">
        <v>0</v>
      </c>
      <c r="J65">
        <f>IF(I65&gt;=1,"Done",IF(TODAY()&gt;F65,"Late",IF(I65&gt;0,"In progress","Not started")))</f>
        <v/>
      </c>
      <c r="K65">
        <f>G65*I65</f>
        <v/>
      </c>
    </row>
    <row r="66">
      <c r="A66" t="inlineStr">
        <is>
          <t>T6.5</t>
        </is>
      </c>
      <c r="B66" t="inlineStr">
        <is>
          <t>P6</t>
        </is>
      </c>
      <c r="C66" t="inlineStr">
        <is>
          <t>Payment component (wallet + deposit)</t>
        </is>
      </c>
      <c r="D66" t="inlineStr">
        <is>
          <t>sonnet-5</t>
        </is>
      </c>
      <c r="E66" s="3" t="n">
        <v>46377</v>
      </c>
      <c r="F66" s="3" t="n">
        <v>46384</v>
      </c>
      <c r="G66" t="n">
        <v>4</v>
      </c>
      <c r="H66" t="inlineStr">
        <is>
          <t>T6.1,SP-2,T5.4</t>
        </is>
      </c>
      <c r="I66" s="4" t="n">
        <v>0</v>
      </c>
      <c r="J66">
        <f>IF(I66&gt;=1,"Done",IF(TODAY()&gt;F66,"Late",IF(I66&gt;0,"In progress","Not started")))</f>
        <v/>
      </c>
      <c r="K66">
        <f>G66*I66</f>
        <v/>
      </c>
    </row>
    <row r="67">
      <c r="A67" t="inlineStr">
        <is>
          <t>T6.6</t>
        </is>
      </c>
      <c r="B67" t="inlineStr">
        <is>
          <t>P6</t>
        </is>
      </c>
      <c r="C67" t="inlineStr">
        <is>
          <t>Spawn flow</t>
        </is>
      </c>
      <c r="D67" t="inlineStr">
        <is>
          <t>haiku-4.5</t>
        </is>
      </c>
      <c r="E67" s="3" t="n">
        <v>46385</v>
      </c>
      <c r="F67" s="3" t="n">
        <v>46386</v>
      </c>
      <c r="G67" t="n">
        <v>2</v>
      </c>
      <c r="H67" t="inlineStr">
        <is>
          <t>T6.5,T5.3</t>
        </is>
      </c>
      <c r="I67" s="4" t="n">
        <v>0</v>
      </c>
      <c r="J67">
        <f>IF(I67&gt;=1,"Done",IF(TODAY()&gt;F67,"Late",IF(I67&gt;0,"In progress","Not started")))</f>
        <v/>
      </c>
      <c r="K67">
        <f>G67*I67</f>
        <v/>
      </c>
    </row>
    <row r="68">
      <c r="A68" t="inlineStr">
        <is>
          <t>T6.7</t>
        </is>
      </c>
      <c r="B68" t="inlineStr">
        <is>
          <t>P6</t>
        </is>
      </c>
      <c r="C68" t="inlineStr">
        <is>
          <t>Owner dashboard</t>
        </is>
      </c>
      <c r="D68" t="inlineStr">
        <is>
          <t>sonnet-5</t>
        </is>
      </c>
      <c r="E68" s="3" t="n">
        <v>46377</v>
      </c>
      <c r="F68" s="3" t="n">
        <v>46384</v>
      </c>
      <c r="G68" t="n">
        <v>4</v>
      </c>
      <c r="H68" t="inlineStr">
        <is>
          <t>T6.1,T3.3,T4.6</t>
        </is>
      </c>
      <c r="I68" s="4" t="n">
        <v>0</v>
      </c>
      <c r="J68">
        <f>IF(I68&gt;=1,"Done",IF(TODAY()&gt;F68,"Late",IF(I68&gt;0,"In progress","Not started")))</f>
        <v/>
      </c>
      <c r="K68">
        <f>G68*I68</f>
        <v/>
      </c>
    </row>
    <row r="69">
      <c r="A69" t="inlineStr">
        <is>
          <t>T6.8</t>
        </is>
      </c>
      <c r="B69" t="inlineStr">
        <is>
          <t>P6</t>
        </is>
      </c>
      <c r="C69" t="inlineStr">
        <is>
          <t>Connect your agent + Activity &amp; records</t>
        </is>
      </c>
      <c r="D69" t="inlineStr">
        <is>
          <t>haiku-4.5</t>
        </is>
      </c>
      <c r="E69" s="3" t="n">
        <v>46385</v>
      </c>
      <c r="F69" s="3" t="n">
        <v>46391</v>
      </c>
      <c r="G69" t="n">
        <v>3</v>
      </c>
      <c r="H69" t="inlineStr">
        <is>
          <t>T6.7</t>
        </is>
      </c>
      <c r="I69" s="4" t="n">
        <v>0</v>
      </c>
      <c r="J69">
        <f>IF(I69&gt;=1,"Done",IF(TODAY()&gt;F69,"Late",IF(I69&gt;0,"In progress","Not started")))</f>
        <v/>
      </c>
      <c r="K69">
        <f>G69*I69</f>
        <v/>
      </c>
    </row>
    <row r="70">
      <c r="A70" t="inlineStr">
        <is>
          <t>T6.9</t>
        </is>
      </c>
      <c r="B70" t="inlineStr">
        <is>
          <t>P6</t>
        </is>
      </c>
      <c r="C70" t="inlineStr">
        <is>
          <t>Fuel &amp; billing + auto top-up</t>
        </is>
      </c>
      <c r="D70" t="inlineStr">
        <is>
          <t>haiku-4.5</t>
        </is>
      </c>
      <c r="E70" s="3" t="n">
        <v>46391</v>
      </c>
      <c r="F70" s="3" t="n">
        <v>46393</v>
      </c>
      <c r="G70" t="n">
        <v>3</v>
      </c>
      <c r="H70" t="inlineStr">
        <is>
          <t>T6.5,T5.5</t>
        </is>
      </c>
      <c r="I70" s="4" t="n">
        <v>0</v>
      </c>
      <c r="J70">
        <f>IF(I70&gt;=1,"Done",IF(TODAY()&gt;F70,"Late",IF(I70&gt;0,"In progress","Not started")))</f>
        <v/>
      </c>
      <c r="K70">
        <f>G70*I70</f>
        <v/>
      </c>
    </row>
    <row r="71">
      <c r="A71" t="inlineStr">
        <is>
          <t>T6.11</t>
        </is>
      </c>
      <c r="B71" t="inlineStr">
        <is>
          <t>P6</t>
        </is>
      </c>
      <c r="C71" t="inlineStr">
        <is>
          <t>BTC &amp; ETH methods + feature-flag gating (card hi…</t>
        </is>
      </c>
      <c r="D71" t="inlineStr">
        <is>
          <t>sonnet-5</t>
        </is>
      </c>
      <c r="E71" s="3" t="n">
        <v>46392</v>
      </c>
      <c r="F71" s="3" t="n">
        <v>46395</v>
      </c>
      <c r="G71" t="n">
        <v>4</v>
      </c>
      <c r="H71" t="inlineStr">
        <is>
          <t>T6.5,T5.9,T5.10</t>
        </is>
      </c>
      <c r="I71" s="4" t="n">
        <v>0</v>
      </c>
      <c r="J71">
        <f>IF(I71&gt;=1,"Done",IF(TODAY()&gt;F71,"Late",IF(I71&gt;0,"In progress","Not started")))</f>
        <v/>
      </c>
      <c r="K71">
        <f>G71*I71</f>
        <v/>
      </c>
    </row>
    <row r="72">
      <c r="A72" t="inlineStr">
        <is>
          <t>T6.12</t>
        </is>
      </c>
      <c r="B72" t="inlineStr">
        <is>
          <t>P6</t>
        </is>
      </c>
      <c r="C72" t="inlineStr">
        <is>
          <t>Admin console (8 screens)</t>
        </is>
      </c>
      <c r="D72" t="inlineStr">
        <is>
          <t>sonnet-5</t>
        </is>
      </c>
      <c r="E72" s="3" t="n">
        <v>46393</v>
      </c>
      <c r="F72" s="3" t="n">
        <v>46399</v>
      </c>
      <c r="G72" t="n">
        <v>5</v>
      </c>
      <c r="H72" t="inlineStr">
        <is>
          <t>T6.1,T4.10,T5.15</t>
        </is>
      </c>
      <c r="I72" s="4" t="n">
        <v>0</v>
      </c>
      <c r="J72">
        <f>IF(I72&gt;=1,"Done",IF(TODAY()&gt;F72,"Late",IF(I72&gt;0,"In progress","Not started")))</f>
        <v/>
      </c>
      <c r="K72">
        <f>G72*I72</f>
        <v/>
      </c>
    </row>
    <row r="73">
      <c r="A73" t="inlineStr">
        <is>
          <t>T6.13</t>
        </is>
      </c>
      <c r="B73" t="inlineStr">
        <is>
          <t>P6</t>
        </is>
      </c>
      <c r="C73" t="inlineStr">
        <is>
          <t>Firebase analytics + consent + event taxonomy + …</t>
        </is>
      </c>
      <c r="D73" t="inlineStr">
        <is>
          <t>haiku-4.5</t>
        </is>
      </c>
      <c r="E73" s="3" t="n">
        <v>46394</v>
      </c>
      <c r="F73" s="3" t="n">
        <v>46395</v>
      </c>
      <c r="G73" t="n">
        <v>2</v>
      </c>
      <c r="H73" t="inlineStr">
        <is>
          <t>T6.1</t>
        </is>
      </c>
      <c r="I73" s="4" t="n">
        <v>0</v>
      </c>
      <c r="J73">
        <f>IF(I73&gt;=1,"Done",IF(TODAY()&gt;F73,"Late",IF(I73&gt;0,"In progress","Not started")))</f>
        <v/>
      </c>
      <c r="K73">
        <f>G73*I73</f>
        <v/>
      </c>
    </row>
    <row r="74">
      <c r="A74" t="inlineStr">
        <is>
          <t>T6.14</t>
        </is>
      </c>
      <c r="B74" t="inlineStr">
        <is>
          <t>P6</t>
        </is>
      </c>
      <c r="C74" t="inlineStr">
        <is>
          <t>About/legal/practice pages, invite spawn UI, adm…</t>
        </is>
      </c>
      <c r="D74" t="inlineStr">
        <is>
          <t>haiku-4.5</t>
        </is>
      </c>
      <c r="E74" s="3" t="n">
        <v>46400</v>
      </c>
      <c r="F74" s="3" t="n">
        <v>46402</v>
      </c>
      <c r="G74" t="n">
        <v>3</v>
      </c>
      <c r="H74" t="inlineStr">
        <is>
          <t>T6.12,T5.16,T5.18</t>
        </is>
      </c>
      <c r="I74" s="4" t="n">
        <v>0</v>
      </c>
      <c r="J74">
        <f>IF(I74&gt;=1,"Done",IF(TODAY()&gt;F74,"Late",IF(I74&gt;0,"In progress","Not started")))</f>
        <v/>
      </c>
      <c r="K74">
        <f>G74*I74</f>
        <v/>
      </c>
    </row>
    <row r="75">
      <c r="A75" t="inlineStr">
        <is>
          <t>T6.10</t>
        </is>
      </c>
      <c r="B75" t="inlineStr">
        <is>
          <t>P6</t>
        </is>
      </c>
      <c r="C75" t="inlineStr">
        <is>
          <t>States, accessibility, Playwright smoke</t>
        </is>
      </c>
      <c r="D75" t="inlineStr">
        <is>
          <t>sonnet-5</t>
        </is>
      </c>
      <c r="E75" s="3" t="n">
        <v>46405</v>
      </c>
      <c r="F75" s="3" t="n">
        <v>46407</v>
      </c>
      <c r="G75" t="n">
        <v>3</v>
      </c>
      <c r="H75" t="inlineStr">
        <is>
          <t>T6.4,T6.6,T6.8,T6.9,T6.11,T6.12,T6.13,T6.14</t>
        </is>
      </c>
      <c r="I75" s="4" t="n">
        <v>0</v>
      </c>
      <c r="J75">
        <f>IF(I75&gt;=1,"Done",IF(TODAY()&gt;F75,"Late",IF(I75&gt;0,"In progress","Not started")))</f>
        <v/>
      </c>
      <c r="K75">
        <f>G75*I75</f>
        <v/>
      </c>
    </row>
    <row r="76">
      <c r="A76" t="inlineStr">
        <is>
          <t>T7.1</t>
        </is>
      </c>
      <c r="B76" t="inlineStr">
        <is>
          <t>P7</t>
        </is>
      </c>
      <c r="C76" t="inlineStr">
        <is>
          <t>Upgrade tests for all canisters</t>
        </is>
      </c>
      <c r="D76" t="inlineStr">
        <is>
          <t>sonnet-5</t>
        </is>
      </c>
      <c r="E76" s="3" t="n">
        <v>46398</v>
      </c>
      <c r="F76" s="3" t="n">
        <v>46399</v>
      </c>
      <c r="G76" t="n">
        <v>2</v>
      </c>
      <c r="H76" t="inlineStr">
        <is>
          <t>T4.8,T5.6</t>
        </is>
      </c>
      <c r="I76" s="4" t="n">
        <v>0</v>
      </c>
      <c r="J76">
        <f>IF(I76&gt;=1,"Done",IF(TODAY()&gt;F76,"Late",IF(I76&gt;0,"In progress","Not started")))</f>
        <v/>
      </c>
      <c r="K76">
        <f>G76*I76</f>
        <v/>
      </c>
    </row>
    <row r="77">
      <c r="A77" t="inlineStr">
        <is>
          <t>T7.2</t>
        </is>
      </c>
      <c r="B77" t="inlineStr">
        <is>
          <t>P7</t>
        </is>
      </c>
      <c r="C77" t="inlineStr">
        <is>
          <t>Load test: 200 AAAs × 100 tasks</t>
        </is>
      </c>
      <c r="D77" t="inlineStr">
        <is>
          <t>sonnet-5</t>
        </is>
      </c>
      <c r="E77" s="3" t="n">
        <v>46400</v>
      </c>
      <c r="F77" s="3" t="n">
        <v>46401</v>
      </c>
      <c r="G77" t="n">
        <v>2</v>
      </c>
      <c r="H77" t="inlineStr">
        <is>
          <t>T7.1</t>
        </is>
      </c>
      <c r="I77" s="4" t="n">
        <v>0</v>
      </c>
      <c r="J77">
        <f>IF(I77&gt;=1,"Done",IF(TODAY()&gt;F77,"Late",IF(I77&gt;0,"In progress","Not started")))</f>
        <v/>
      </c>
      <c r="K77">
        <f>G77*I77</f>
        <v/>
      </c>
    </row>
    <row r="78">
      <c r="A78" t="inlineStr">
        <is>
          <t>T7.3</t>
        </is>
      </c>
      <c r="B78" t="inlineStr">
        <is>
          <t>P7</t>
        </is>
      </c>
      <c r="C78" t="inlineStr">
        <is>
          <t>Cycle cost measurement &amp; fee retune</t>
        </is>
      </c>
      <c r="D78" t="inlineStr">
        <is>
          <t>sonnet-5</t>
        </is>
      </c>
      <c r="E78" s="3" t="n">
        <v>46402</v>
      </c>
      <c r="F78" s="3" t="n">
        <v>46405</v>
      </c>
      <c r="G78" t="n">
        <v>2</v>
      </c>
      <c r="H78" t="inlineStr">
        <is>
          <t>T7.2</t>
        </is>
      </c>
      <c r="I78" s="4" t="n">
        <v>0</v>
      </c>
      <c r="J78">
        <f>IF(I78&gt;=1,"Done",IF(TODAY()&gt;F78,"Late",IF(I78&gt;0,"In progress","Not started")))</f>
        <v/>
      </c>
      <c r="K78">
        <f>G78*I78</f>
        <v/>
      </c>
    </row>
    <row r="79">
      <c r="A79" t="inlineStr">
        <is>
          <t>T7.4</t>
        </is>
      </c>
      <c r="B79" t="inlineStr">
        <is>
          <t>P7</t>
        </is>
      </c>
      <c r="C79" t="inlineStr">
        <is>
          <t>Reproducible AAA build + manual upgrade docs</t>
        </is>
      </c>
      <c r="D79" t="inlineStr">
        <is>
          <t>sonnet-5</t>
        </is>
      </c>
      <c r="E79" s="3" t="n">
        <v>46398</v>
      </c>
      <c r="F79" s="3" t="n">
        <v>46399</v>
      </c>
      <c r="G79" t="n">
        <v>2</v>
      </c>
      <c r="H79" t="inlineStr">
        <is>
          <t>T3.6,T5.7</t>
        </is>
      </c>
      <c r="I79" s="4" t="n">
        <v>0</v>
      </c>
      <c r="J79">
        <f>IF(I79&gt;=1,"Done",IF(TODAY()&gt;F79,"Late",IF(I79&gt;0,"In progress","Not started")))</f>
        <v/>
      </c>
      <c r="K79">
        <f>G79*I79</f>
        <v/>
      </c>
    </row>
    <row r="80">
      <c r="A80" t="inlineStr">
        <is>
          <t>T7.7</t>
        </is>
      </c>
      <c r="B80" t="inlineStr">
        <is>
          <t>P7</t>
        </is>
      </c>
      <c r="C80" t="inlineStr">
        <is>
          <t>Prompt-injection test with reference agent</t>
        </is>
      </c>
      <c r="D80" t="inlineStr">
        <is>
          <t>opus-5.5 (high)</t>
        </is>
      </c>
      <c r="E80" s="3" t="n">
        <v>46400</v>
      </c>
      <c r="F80" s="3" t="n">
        <v>46400</v>
      </c>
      <c r="G80" t="n">
        <v>1</v>
      </c>
      <c r="H80" t="inlineStr">
        <is>
          <t>T3.7,T4.7</t>
        </is>
      </c>
      <c r="I80" s="4" t="n">
        <v>0</v>
      </c>
      <c r="J80">
        <f>IF(I80&gt;=1,"Done",IF(TODAY()&gt;F80,"Late",IF(I80&gt;0,"In progress","Not started")))</f>
        <v/>
      </c>
      <c r="K80">
        <f>G80*I80</f>
        <v/>
      </c>
    </row>
    <row r="81">
      <c r="A81" t="inlineStr">
        <is>
          <t>T7.9</t>
        </is>
      </c>
      <c r="B81" t="inlineStr">
        <is>
          <t>P7</t>
        </is>
      </c>
      <c r="C81" t="inlineStr">
        <is>
          <t>Traceability audit + coverage gates to thresholds</t>
        </is>
      </c>
      <c r="D81" t="inlineStr">
        <is>
          <t>haiku-4.5</t>
        </is>
      </c>
      <c r="E81" s="3" t="n">
        <v>46401</v>
      </c>
      <c r="F81" s="3" t="n">
        <v>46402</v>
      </c>
      <c r="G81" t="n">
        <v>2</v>
      </c>
      <c r="H81" t="inlineStr">
        <is>
          <t>T7.1</t>
        </is>
      </c>
      <c r="I81" s="4" t="n">
        <v>0</v>
      </c>
      <c r="J81">
        <f>IF(I81&gt;=1,"Done",IF(TODAY()&gt;F81,"Late",IF(I81&gt;0,"In progress","Not started")))</f>
        <v/>
      </c>
      <c r="K81">
        <f>G81*I81</f>
        <v/>
      </c>
    </row>
    <row r="82">
      <c r="A82" t="inlineStr">
        <is>
          <t>T7.10</t>
        </is>
      </c>
      <c r="B82" t="inlineStr">
        <is>
          <t>P7</t>
        </is>
      </c>
      <c r="C82" t="inlineStr">
        <is>
          <t>Practice set + open data release tooling</t>
        </is>
      </c>
      <c r="D82" t="inlineStr">
        <is>
          <t>haiku-4.5</t>
        </is>
      </c>
      <c r="E82" s="3" t="n">
        <v>46405</v>
      </c>
      <c r="F82" s="3" t="n">
        <v>46406</v>
      </c>
      <c r="G82" t="n">
        <v>2</v>
      </c>
      <c r="H82" t="inlineStr">
        <is>
          <t>T1.7,T4.8</t>
        </is>
      </c>
      <c r="I82" s="4" t="n">
        <v>0</v>
      </c>
      <c r="J82">
        <f>IF(I82&gt;=1,"Done",IF(TODAY()&gt;F82,"Late",IF(I82&gt;0,"In progress","Not started")))</f>
        <v/>
      </c>
      <c r="K82">
        <f>G82*I82</f>
        <v/>
      </c>
    </row>
    <row r="83">
      <c r="A83" t="inlineStr">
        <is>
          <t>T7.5</t>
        </is>
      </c>
      <c r="B83" t="inlineStr">
        <is>
          <t>P7</t>
        </is>
      </c>
      <c r="C83" t="inlineStr">
        <is>
          <t>External security review (payments + platform)</t>
        </is>
      </c>
      <c r="D83" t="inlineStr">
        <is>
          <t>human</t>
        </is>
      </c>
      <c r="E83" s="3" t="n">
        <v>46373</v>
      </c>
      <c r="F83" s="3" t="n">
        <v>46379</v>
      </c>
      <c r="G83" t="n">
        <v>5</v>
      </c>
      <c r="H83" t="inlineStr">
        <is>
          <t>T5.7,T4.8</t>
        </is>
      </c>
      <c r="I83" s="4" t="n">
        <v>0</v>
      </c>
      <c r="J83">
        <f>IF(I83&gt;=1,"Done",IF(TODAY()&gt;F83,"Late",IF(I83&gt;0,"In progress","Not started")))</f>
        <v/>
      </c>
      <c r="K83">
        <f>G83*I83</f>
        <v/>
      </c>
    </row>
    <row r="84">
      <c r="A84" t="inlineStr">
        <is>
          <t>T7.6</t>
        </is>
      </c>
      <c r="B84" t="inlineStr">
        <is>
          <t>P7</t>
        </is>
      </c>
      <c r="C84" t="inlineStr">
        <is>
          <t>Fix security findings</t>
        </is>
      </c>
      <c r="D84" t="inlineStr">
        <is>
          <t>opus-5.5 (high)</t>
        </is>
      </c>
      <c r="E84" s="3" t="n">
        <v>46406</v>
      </c>
      <c r="F84" s="3" t="n">
        <v>46408</v>
      </c>
      <c r="G84" t="n">
        <v>3</v>
      </c>
      <c r="H84" t="inlineStr">
        <is>
          <t>T7.5</t>
        </is>
      </c>
      <c r="I84" s="4" t="n">
        <v>0</v>
      </c>
      <c r="J84">
        <f>IF(I84&gt;=1,"Done",IF(TODAY()&gt;F84,"Late",IF(I84&gt;0,"In progress","Not started")))</f>
        <v/>
      </c>
      <c r="K84">
        <f>G84*I84</f>
        <v/>
      </c>
    </row>
    <row r="85">
      <c r="A85" t="inlineStr">
        <is>
          <t>T8.1</t>
        </is>
      </c>
      <c r="B85" t="inlineStr">
        <is>
          <t>P8</t>
        </is>
      </c>
      <c r="C85" t="inlineStr">
        <is>
          <t>Staging deploy, deploy workflow, snapshots, cycl…</t>
        </is>
      </c>
      <c r="D85" t="inlineStr">
        <is>
          <t>sonnet-5</t>
        </is>
      </c>
      <c r="E85" s="3" t="n">
        <v>46407</v>
      </c>
      <c r="F85" s="3" t="n">
        <v>46408</v>
      </c>
      <c r="G85" t="n">
        <v>2</v>
      </c>
      <c r="H85" t="inlineStr">
        <is>
          <t>T7.1</t>
        </is>
      </c>
      <c r="I85" s="4" t="n">
        <v>0</v>
      </c>
      <c r="J85">
        <f>IF(I85&gt;=1,"Done",IF(TODAY()&gt;F85,"Late",IF(I85&gt;0,"In progress","Not started")))</f>
        <v/>
      </c>
      <c r="K85">
        <f>G85*I85</f>
        <v/>
      </c>
    </row>
    <row r="86">
      <c r="A86" t="inlineStr">
        <is>
          <t>T8.2</t>
        </is>
      </c>
      <c r="B86" t="inlineStr">
        <is>
          <t>P8</t>
        </is>
      </c>
      <c r="C86" t="inlineStr">
        <is>
          <t>Upload subjects/protocol/honeypots to staging</t>
        </is>
      </c>
      <c r="D86" t="inlineStr">
        <is>
          <t>haiku-4.5</t>
        </is>
      </c>
      <c r="E86" s="3" t="n">
        <v>46409</v>
      </c>
      <c r="F86" s="3" t="n">
        <v>46409</v>
      </c>
      <c r="G86" t="n">
        <v>1</v>
      </c>
      <c r="H86" t="inlineStr">
        <is>
          <t>T8.1,T7.6</t>
        </is>
      </c>
      <c r="I86" s="4" t="n">
        <v>0</v>
      </c>
      <c r="J86">
        <f>IF(I86&gt;=1,"Done",IF(TODAY()&gt;F86,"Late",IF(I86&gt;0,"In progress","Not started")))</f>
        <v/>
      </c>
      <c r="K86">
        <f>G86*I86</f>
        <v/>
      </c>
    </row>
    <row r="87">
      <c r="A87" t="inlineStr">
        <is>
          <t>T8.5</t>
        </is>
      </c>
      <c r="B87" t="inlineStr">
        <is>
          <t>P8</t>
        </is>
      </c>
      <c r="C87" t="inlineStr">
        <is>
          <t>Fund prod treasury with ICP float (10–20 ICP) + …</t>
        </is>
      </c>
      <c r="D87" t="inlineStr">
        <is>
          <t>human</t>
        </is>
      </c>
      <c r="E87" s="3" t="n">
        <v>46428</v>
      </c>
      <c r="F87" s="3" t="n">
        <v>46428</v>
      </c>
      <c r="G87" t="n">
        <v>1</v>
      </c>
      <c r="H87" t="inlineStr">
        <is>
          <t>T8.6</t>
        </is>
      </c>
      <c r="I87" s="4" t="n">
        <v>0</v>
      </c>
      <c r="J87">
        <f>IF(I87&gt;=1,"Done",IF(TODAY()&gt;F87,"Late",IF(I87&gt;0,"In progress","Not started")))</f>
        <v/>
      </c>
      <c r="K87">
        <f>G87*I87</f>
        <v/>
      </c>
    </row>
    <row r="88">
      <c r="A88" t="inlineStr">
        <is>
          <t>T8.3</t>
        </is>
      </c>
      <c r="B88" t="inlineStr">
        <is>
          <t>P8</t>
        </is>
      </c>
      <c r="C88" t="inlineStr">
        <is>
          <t>Closed beta (10-20 owners)</t>
        </is>
      </c>
      <c r="D88" t="inlineStr">
        <is>
          <t>human</t>
        </is>
      </c>
      <c r="E88" s="3" t="n">
        <v>46412</v>
      </c>
      <c r="F88" s="3" t="n">
        <v>46423</v>
      </c>
      <c r="G88" t="n">
        <v>10</v>
      </c>
      <c r="H88" t="inlineStr">
        <is>
          <t>T8.2,T6.10</t>
        </is>
      </c>
      <c r="I88" s="4" t="n">
        <v>0</v>
      </c>
      <c r="J88">
        <f>IF(I88&gt;=1,"Done",IF(TODAY()&gt;F88,"Late",IF(I88&gt;0,"In progress","Not started")))</f>
        <v/>
      </c>
      <c r="K88">
        <f>G88*I88</f>
        <v/>
      </c>
    </row>
    <row r="89">
      <c r="A89" t="inlineStr">
        <is>
          <t>T8.4</t>
        </is>
      </c>
      <c r="B89" t="inlineStr">
        <is>
          <t>P8</t>
        </is>
      </c>
      <c r="C89" t="inlineStr">
        <is>
          <t>Beta fixes &amp; tuning</t>
        </is>
      </c>
      <c r="D89" t="inlineStr">
        <is>
          <t>sonnet-5</t>
        </is>
      </c>
      <c r="E89" s="3" t="n">
        <v>46412</v>
      </c>
      <c r="F89" s="3" t="n">
        <v>46423</v>
      </c>
      <c r="G89" t="n">
        <v>10</v>
      </c>
      <c r="H89" t="inlineStr">
        <is>
          <t>T8.2,T6.10</t>
        </is>
      </c>
      <c r="I89" s="4" t="n">
        <v>0</v>
      </c>
      <c r="J89">
        <f>IF(I89&gt;=1,"Done",IF(TODAY()&gt;F89,"Late",IF(I89&gt;0,"In progress","Not started")))</f>
        <v/>
      </c>
      <c r="K89">
        <f>G89*I89</f>
        <v/>
      </c>
    </row>
    <row r="90">
      <c r="A90" t="inlineStr">
        <is>
          <t>T8.6</t>
        </is>
      </c>
      <c r="B90" t="inlineStr">
        <is>
          <t>P8</t>
        </is>
      </c>
      <c r="C90" t="inlineStr">
        <is>
          <t>Production deploy, II metadata, treasury watch l…</t>
        </is>
      </c>
      <c r="D90" t="inlineStr">
        <is>
          <t>sonnet-5</t>
        </is>
      </c>
      <c r="E90" s="3" t="n">
        <v>46426</v>
      </c>
      <c r="F90" s="3" t="n">
        <v>46427</v>
      </c>
      <c r="G90" t="n">
        <v>2</v>
      </c>
      <c r="H90" t="inlineStr">
        <is>
          <t>T8.3,T8.4,T8.13</t>
        </is>
      </c>
      <c r="I90" s="4" t="n">
        <v>0</v>
      </c>
      <c r="J90">
        <f>IF(I90&gt;=1,"Done",IF(TODAY()&gt;F90,"Late",IF(I90&gt;0,"In progress","Not started")))</f>
        <v/>
      </c>
      <c r="K90">
        <f>G90*I90</f>
        <v/>
      </c>
    </row>
    <row r="91">
      <c r="A91" t="inlineStr">
        <is>
          <t>T8.7</t>
        </is>
      </c>
      <c r="B91" t="inlineStr">
        <is>
          <t>P8</t>
        </is>
      </c>
      <c r="C91" t="inlineStr">
        <is>
          <t>Public launch</t>
        </is>
      </c>
      <c r="D91" t="inlineStr">
        <is>
          <t>human</t>
        </is>
      </c>
      <c r="E91" s="3" t="n">
        <v>46429</v>
      </c>
      <c r="F91" s="3" t="n">
        <v>46429</v>
      </c>
      <c r="G91" t="n">
        <v>1</v>
      </c>
      <c r="H91" t="inlineStr">
        <is>
          <t>T8.6,T8.5,T9.5</t>
        </is>
      </c>
      <c r="I91" s="4" t="n">
        <v>0</v>
      </c>
      <c r="J91">
        <f>IF(I91&gt;=1,"Done",IF(TODAY()&gt;F91,"Late",IF(I91&gt;0,"In progress","Not started")))</f>
        <v/>
      </c>
      <c r="K91">
        <f>G91*I91</f>
        <v/>
      </c>
    </row>
    <row r="92">
      <c r="A92" t="inlineStr">
        <is>
          <t>T9.1</t>
        </is>
      </c>
      <c r="B92" t="inlineStr">
        <is>
          <t>P9</t>
        </is>
      </c>
      <c r="C92" t="inlineStr">
        <is>
          <t>Import mockups (Claude Design), reconcile, desig…</t>
        </is>
      </c>
      <c r="D92" t="inlineStr">
        <is>
          <t>sonnet-5</t>
        </is>
      </c>
      <c r="E92" s="3" t="n">
        <v>46409</v>
      </c>
      <c r="F92" s="3" t="n">
        <v>46414</v>
      </c>
      <c r="G92" t="n">
        <v>4</v>
      </c>
      <c r="H92" t="inlineStr">
        <is>
          <t>T6.10</t>
        </is>
      </c>
      <c r="I92" s="4" t="n">
        <v>0</v>
      </c>
      <c r="J92">
        <f>IF(I92&gt;=1,"Done",IF(TODAY()&gt;F92,"Late",IF(I92&gt;0,"In progress","Not started")))</f>
        <v/>
      </c>
      <c r="K92">
        <f>G92*I92</f>
        <v/>
      </c>
    </row>
    <row r="93">
      <c r="A93" t="inlineStr">
        <is>
          <t>T9.2</t>
        </is>
      </c>
      <c r="B93" t="inlineStr">
        <is>
          <t>P9</t>
        </is>
      </c>
      <c r="C93" t="inlineStr">
        <is>
          <t>Style public pages: landing, museum, discovery, …</t>
        </is>
      </c>
      <c r="D93" t="inlineStr">
        <is>
          <t>sonnet-5</t>
        </is>
      </c>
      <c r="E93" s="3" t="n">
        <v>46415</v>
      </c>
      <c r="F93" s="3" t="n">
        <v>46420</v>
      </c>
      <c r="G93" t="n">
        <v>4</v>
      </c>
      <c r="H93" t="inlineStr">
        <is>
          <t>T9.1</t>
        </is>
      </c>
      <c r="I93" s="4" t="n">
        <v>0</v>
      </c>
      <c r="J93">
        <f>IF(I93&gt;=1,"Done",IF(TODAY()&gt;F93,"Late",IF(I93&gt;0,"In progress","Not started")))</f>
        <v/>
      </c>
      <c r="K93">
        <f>G93*I93</f>
        <v/>
      </c>
    </row>
    <row r="94">
      <c r="A94" t="inlineStr">
        <is>
          <t>T9.3</t>
        </is>
      </c>
      <c r="B94" t="inlineStr">
        <is>
          <t>P9</t>
        </is>
      </c>
      <c r="C94" t="inlineStr">
        <is>
          <t>Style owner flows: spawn, dashboard, connect age…</t>
        </is>
      </c>
      <c r="D94" t="inlineStr">
        <is>
          <t>sonnet-5</t>
        </is>
      </c>
      <c r="E94" s="3" t="n">
        <v>46415</v>
      </c>
      <c r="F94" s="3" t="n">
        <v>46420</v>
      </c>
      <c r="G94" t="n">
        <v>4</v>
      </c>
      <c r="H94" t="inlineStr">
        <is>
          <t>T9.1</t>
        </is>
      </c>
      <c r="I94" s="4" t="n">
        <v>0</v>
      </c>
      <c r="J94">
        <f>IF(I94&gt;=1,"Done",IF(TODAY()&gt;F94,"Late",IF(I94&gt;0,"In progress","Not started")))</f>
        <v/>
      </c>
      <c r="K94">
        <f>G94*I94</f>
        <v/>
      </c>
    </row>
    <row r="95">
      <c r="A95" t="inlineStr">
        <is>
          <t>T9.4</t>
        </is>
      </c>
      <c r="B95" t="inlineStr">
        <is>
          <t>P9</t>
        </is>
      </c>
      <c r="C95" t="inlineStr">
        <is>
          <t>Style admin console + about/legal/practice pages</t>
        </is>
      </c>
      <c r="D95" t="inlineStr">
        <is>
          <t>haiku-4.5</t>
        </is>
      </c>
      <c r="E95" s="3" t="n">
        <v>46421</v>
      </c>
      <c r="F95" s="3" t="n">
        <v>46422</v>
      </c>
      <c r="G95" t="n">
        <v>2</v>
      </c>
      <c r="H95" t="inlineStr">
        <is>
          <t>T9.1</t>
        </is>
      </c>
      <c r="I95" s="4" t="n">
        <v>0</v>
      </c>
      <c r="J95">
        <f>IF(I95&gt;=1,"Done",IF(TODAY()&gt;F95,"Late",IF(I95&gt;0,"In progress","Not started")))</f>
        <v/>
      </c>
      <c r="K95">
        <f>G95*I95</f>
        <v/>
      </c>
    </row>
    <row r="96">
      <c r="A96" t="inlineStr">
        <is>
          <t>T9.5</t>
        </is>
      </c>
      <c r="B96" t="inlineStr">
        <is>
          <t>P9</t>
        </is>
      </c>
      <c r="C96" t="inlineStr">
        <is>
          <t>Responsive/mobile pass, visual-regression baseli…</t>
        </is>
      </c>
      <c r="D96" t="inlineStr">
        <is>
          <t>haiku-4.5</t>
        </is>
      </c>
      <c r="E96" s="3" t="n">
        <v>46423</v>
      </c>
      <c r="F96" s="3" t="n">
        <v>46426</v>
      </c>
      <c r="G96" t="n">
        <v>2</v>
      </c>
      <c r="H96" t="inlineStr">
        <is>
          <t>T9.2,T9.3,T9.4</t>
        </is>
      </c>
      <c r="I96" s="4" t="n">
        <v>0</v>
      </c>
      <c r="J96">
        <f>IF(I96&gt;=1,"Done",IF(TODAY()&gt;F96,"Late",IF(I96&gt;0,"In progress","Not started")))</f>
        <v/>
      </c>
      <c r="K96">
        <f>G96*I96</f>
        <v/>
      </c>
    </row>
    <row r="97">
      <c r="A97" t="inlineStr">
        <is>
          <t>T8.13</t>
        </is>
      </c>
      <c r="B97" t="inlineStr">
        <is>
          <t>P8</t>
        </is>
      </c>
      <c r="C97" t="inlineStr">
        <is>
          <t>Custom domain + II alternative origins</t>
        </is>
      </c>
      <c r="D97" t="inlineStr">
        <is>
          <t>human</t>
        </is>
      </c>
      <c r="E97" s="3" t="n">
        <v>46409</v>
      </c>
      <c r="F97" s="3" t="n">
        <v>46409</v>
      </c>
      <c r="G97" t="n">
        <v>1</v>
      </c>
      <c r="H97" t="inlineStr">
        <is>
          <t>T8.1</t>
        </is>
      </c>
      <c r="I97" s="4" t="n">
        <v>0</v>
      </c>
      <c r="J97">
        <f>IF(I97&gt;=1,"Done",IF(TODAY()&gt;F97,"Late",IF(I97&gt;0,"In progress","Not started")))</f>
        <v/>
      </c>
      <c r="K97">
        <f>G97*I97</f>
        <v/>
      </c>
    </row>
    <row r="98">
      <c r="A98" t="inlineStr">
        <is>
          <t>T8.12</t>
        </is>
      </c>
      <c r="B98" t="inlineStr">
        <is>
          <t>P8</t>
        </is>
      </c>
      <c r="C98" t="inlineStr">
        <is>
          <t>Firebase projects (staging/prod) + GA4 funnels &amp;…</t>
        </is>
      </c>
      <c r="D98" t="inlineStr">
        <is>
          <t>human</t>
        </is>
      </c>
      <c r="E98" s="3" t="n">
        <v>46296</v>
      </c>
      <c r="F98" s="3" t="n">
        <v>46296</v>
      </c>
      <c r="G98" t="n">
        <v>1</v>
      </c>
      <c r="H98" t="inlineStr">
        <is>
          <t>T0.4</t>
        </is>
      </c>
      <c r="I98" s="4" t="n">
        <v>0</v>
      </c>
      <c r="J98">
        <f>IF(I98&gt;=1,"Done",IF(TODAY()&gt;F98,"Late",IF(I98&gt;0,"In progress","Not started")))</f>
        <v/>
      </c>
      <c r="K98">
        <f>G98*I98</f>
        <v/>
      </c>
    </row>
    <row r="99">
      <c r="A99" t="inlineStr">
        <is>
          <t>T8.8</t>
        </is>
      </c>
      <c r="B99" t="inlineStr">
        <is>
          <t>P8</t>
        </is>
      </c>
      <c r="C99" t="inlineStr">
        <is>
          <t>Compliance check for card &amp; crypto fuel packs (r…</t>
        </is>
      </c>
      <c r="D99" t="inlineStr">
        <is>
          <t>human</t>
        </is>
      </c>
      <c r="E99" s="3" t="n">
        <v>46296</v>
      </c>
      <c r="F99" s="3" t="n">
        <v>46302</v>
      </c>
      <c r="G99" t="n">
        <v>5</v>
      </c>
      <c r="H99" t="inlineStr">
        <is>
          <t>T0.4</t>
        </is>
      </c>
      <c r="I99" s="4" t="n">
        <v>0</v>
      </c>
      <c r="J99">
        <f>IF(I99&gt;=1,"Done",IF(TODAY()&gt;F99,"Late",IF(I99&gt;0,"In progress","Not started")))</f>
        <v/>
      </c>
      <c r="K99">
        <f>G99*I99</f>
        <v/>
      </c>
    </row>
    <row r="100">
      <c r="A100" t="inlineStr">
        <is>
          <t>T8.9</t>
        </is>
      </c>
      <c r="B100" t="inlineStr">
        <is>
          <t>P8</t>
        </is>
      </c>
      <c r="C100" t="inlineStr">
        <is>
          <t>Enable BTC/ETH on production (card stays off)</t>
        </is>
      </c>
      <c r="D100" t="inlineStr">
        <is>
          <t>human</t>
        </is>
      </c>
      <c r="E100" s="3" t="n">
        <v>46428</v>
      </c>
      <c r="F100" s="3" t="n">
        <v>46428</v>
      </c>
      <c r="G100" t="n">
        <v>1</v>
      </c>
      <c r="H100" t="inlineStr">
        <is>
          <t>T8.6,T8.8</t>
        </is>
      </c>
      <c r="I100" s="4" t="n">
        <v>0</v>
      </c>
      <c r="J100">
        <f>IF(I100&gt;=1,"Done",IF(TODAY()&gt;F100,"Late",IF(I100&gt;0,"In progress","Not started")))</f>
        <v/>
      </c>
      <c r="K100">
        <f>G100*I100</f>
        <v/>
      </c>
    </row>
  </sheetData>
  <conditionalFormatting sqref="L2:AF100">
    <cfRule type="expression" priority="1" dxfId="0" stopIfTrue="1">
      <formula>AND(L$1+6&gt;=$E2,L$1&lt;=$F2,L$1&lt;=$E2+($F2-$E2)*$I2)</formula>
    </cfRule>
    <cfRule type="expression" priority="2" dxfId="1" stopIfTrue="1">
      <formula>AND(LEFT($B2,2)="P0",L$1+6&gt;=$E2,L$1&lt;=$F2)</formula>
    </cfRule>
    <cfRule type="expression" priority="3" dxfId="2" stopIfTrue="1">
      <formula>AND(LEFT($B2,2)="P1",L$1+6&gt;=$E2,L$1&lt;=$F2)</formula>
    </cfRule>
    <cfRule type="expression" priority="4" dxfId="3" stopIfTrue="1">
      <formula>AND(LEFT($B2,2)="P2",L$1+6&gt;=$E2,L$1&lt;=$F2)</formula>
    </cfRule>
    <cfRule type="expression" priority="5" dxfId="4" stopIfTrue="1">
      <formula>AND(LEFT($B2,2)="P3",L$1+6&gt;=$E2,L$1&lt;=$F2)</formula>
    </cfRule>
    <cfRule type="expression" priority="6" dxfId="5" stopIfTrue="1">
      <formula>AND(LEFT($B2,2)="P4",L$1+6&gt;=$E2,L$1&lt;=$F2)</formula>
    </cfRule>
    <cfRule type="expression" priority="7" dxfId="6" stopIfTrue="1">
      <formula>AND(LEFT($B2,2)="P5",L$1+6&gt;=$E2,L$1&lt;=$F2)</formula>
    </cfRule>
    <cfRule type="expression" priority="8" dxfId="7" stopIfTrue="1">
      <formula>AND(LEFT($B2,2)="P6",L$1+6&gt;=$E2,L$1&lt;=$F2)</formula>
    </cfRule>
    <cfRule type="expression" priority="9" dxfId="8" stopIfTrue="1">
      <formula>AND(LEFT($B2,2)="P7",L$1+6&gt;=$E2,L$1&lt;=$F2)</formula>
    </cfRule>
    <cfRule type="expression" priority="10" dxfId="9" stopIfTrue="1">
      <formula>AND(LEFT($B2,2)="P8",L$1+6&gt;=$E2,L$1&lt;=$F2)</formula>
    </cfRule>
    <cfRule type="expression" priority="11" dxfId="10" stopIfTrue="1">
      <formula>AND(LEFT($B2,2)="P9",L$1+6&gt;=$E2,L$1&lt;=$F2)</formula>
    </cfRule>
    <cfRule type="expression" priority="12" dxfId="11">
      <formula>AND(TODAY()&gt;=L$1,TODAY()&lt;L$1+7)</formula>
    </cfRule>
  </conditionalFormatting>
  <conditionalFormatting sqref="J2:J100">
    <cfRule type="expression" priority="13" dxfId="12">
      <formula>LEFT(J2,4)="Late"</formula>
    </cfRule>
    <cfRule type="expression" priority="14" dxfId="13">
      <formula>J2="Done"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7" customWidth="1" min="4" max="4"/>
    <col width="11" customWidth="1" min="5" max="5"/>
    <col width="7" customWidth="1" min="6" max="6"/>
    <col width="26" customWidth="1" min="7" max="7"/>
    <col width="12" customWidth="1" min="8" max="8"/>
    <col width="12" customWidth="1" min="9" max="9"/>
  </cols>
  <sheetData>
    <row r="1">
      <c r="A1" s="5" t="inlineStr">
        <is>
          <t>Phase</t>
        </is>
      </c>
      <c r="B1" s="5" t="inlineStr">
        <is>
          <t>Tasks</t>
        </is>
      </c>
      <c r="C1" s="5" t="inlineStr">
        <is>
          <t>Work days</t>
        </is>
      </c>
      <c r="D1" s="5" t="inlineStr">
        <is>
          <t>Done</t>
        </is>
      </c>
      <c r="E1" s="5" t="inlineStr">
        <is>
          <t>In progress</t>
        </is>
      </c>
      <c r="F1" s="5" t="inlineStr">
        <is>
          <t>Late</t>
        </is>
      </c>
      <c r="G1" s="5" t="inlineStr">
        <is>
          <t>% complete (effort-weighted)</t>
        </is>
      </c>
      <c r="H1" s="5" t="inlineStr">
        <is>
          <t>Start</t>
        </is>
      </c>
      <c r="I1" s="5" t="inlineStr">
        <is>
          <t>End</t>
        </is>
      </c>
      <c r="J1" t="inlineStr">
        <is>
          <t>Name</t>
        </is>
      </c>
    </row>
    <row r="2">
      <c r="A2" s="6" t="inlineStr">
        <is>
          <t>P0</t>
        </is>
      </c>
      <c r="B2">
        <f>COUNTIF(Gantt!$B:$B,A2)</f>
        <v/>
      </c>
      <c r="C2">
        <f>SUMIF(Gantt!$B:$B,A2,Gantt!$G:$G)</f>
        <v/>
      </c>
      <c r="D2">
        <f>COUNTIFS(Gantt!$B:$B,A2,Gantt!$J:$J,"Done")</f>
        <v/>
      </c>
      <c r="E2">
        <f>COUNTIFS(Gantt!$B:$B,A2,Gantt!$J:$J,"In progress")</f>
        <v/>
      </c>
      <c r="F2">
        <f>COUNTIFS(Gantt!$B:$B,A2,Gantt!$J:$J,"Late*")</f>
        <v/>
      </c>
      <c r="G2" s="4">
        <f>IF(C2&gt;0,SUMIF(Gantt!$B:$B,A2,Gantt!$K:$K)/C2,0)</f>
        <v/>
      </c>
      <c r="H2" s="3" t="n">
        <v>46286</v>
      </c>
      <c r="I2" s="3" t="n">
        <v>46295</v>
      </c>
      <c r="J2" t="inlineStr">
        <is>
          <t>Planning</t>
        </is>
      </c>
    </row>
    <row r="3">
      <c r="A3" s="7" t="inlineStr">
        <is>
          <t>P1</t>
        </is>
      </c>
      <c r="B3">
        <f>COUNTIF(Gantt!$B:$B,A3)</f>
        <v/>
      </c>
      <c r="C3">
        <f>SUMIF(Gantt!$B:$B,A3,Gantt!$G:$G)</f>
        <v/>
      </c>
      <c r="D3">
        <f>COUNTIFS(Gantt!$B:$B,A3,Gantt!$J:$J,"Done")</f>
        <v/>
      </c>
      <c r="E3">
        <f>COUNTIFS(Gantt!$B:$B,A3,Gantt!$J:$J,"In progress")</f>
        <v/>
      </c>
      <c r="F3">
        <f>COUNTIFS(Gantt!$B:$B,A3,Gantt!$J:$J,"Late*")</f>
        <v/>
      </c>
      <c r="G3" s="4">
        <f>IF(C3&gt;0,SUMIF(Gantt!$B:$B,A3,Gantt!$K:$K)/C3,0)</f>
        <v/>
      </c>
      <c r="H3" s="3" t="n">
        <v>46296</v>
      </c>
      <c r="I3" s="3" t="n">
        <v>46315</v>
      </c>
      <c r="J3" t="inlineStr">
        <is>
          <t>Foundations &amp; spikes</t>
        </is>
      </c>
    </row>
    <row r="4">
      <c r="A4" s="8" t="inlineStr">
        <is>
          <t>P2</t>
        </is>
      </c>
      <c r="B4">
        <f>COUNTIF(Gantt!$B:$B,A4)</f>
        <v/>
      </c>
      <c r="C4">
        <f>SUMIF(Gantt!$B:$B,A4,Gantt!$G:$G)</f>
        <v/>
      </c>
      <c r="D4">
        <f>COUNTIFS(Gantt!$B:$B,A4,Gantt!$J:$J,"Done")</f>
        <v/>
      </c>
      <c r="E4">
        <f>COUNTIFS(Gantt!$B:$B,A4,Gantt!$J:$J,"In progress")</f>
        <v/>
      </c>
      <c r="F4">
        <f>COUNTIFS(Gantt!$B:$B,A4,Gantt!$J:$J,"Late*")</f>
        <v/>
      </c>
      <c r="G4" s="4">
        <f>IF(C4&gt;0,SUMIF(Gantt!$B:$B,A4,Gantt!$K:$K)/C4,0)</f>
        <v/>
      </c>
      <c r="H4" s="3" t="n">
        <v>46304</v>
      </c>
      <c r="I4" s="3" t="n">
        <v>46321</v>
      </c>
      <c r="J4" t="inlineStr">
        <is>
          <t>Platform core</t>
        </is>
      </c>
    </row>
    <row r="5">
      <c r="A5" s="9" t="inlineStr">
        <is>
          <t>P3</t>
        </is>
      </c>
      <c r="B5">
        <f>COUNTIF(Gantt!$B:$B,A5)</f>
        <v/>
      </c>
      <c r="C5">
        <f>SUMIF(Gantt!$B:$B,A5,Gantt!$G:$G)</f>
        <v/>
      </c>
      <c r="D5">
        <f>COUNTIFS(Gantt!$B:$B,A5,Gantt!$J:$J,"Done")</f>
        <v/>
      </c>
      <c r="E5">
        <f>COUNTIFS(Gantt!$B:$B,A5,Gantt!$J:$J,"In progress")</f>
        <v/>
      </c>
      <c r="F5">
        <f>COUNTIFS(Gantt!$B:$B,A5,Gantt!$J:$J,"Late*")</f>
        <v/>
      </c>
      <c r="G5" s="4">
        <f>IF(C5&gt;0,SUMIF(Gantt!$B:$B,A5,Gantt!$K:$K)/C5,0)</f>
        <v/>
      </c>
      <c r="H5" s="3" t="n">
        <v>46318</v>
      </c>
      <c r="I5" s="3" t="n">
        <v>46332</v>
      </c>
      <c r="J5" t="inlineStr">
        <is>
          <t>AAA canister &amp; agent kit</t>
        </is>
      </c>
    </row>
    <row r="6">
      <c r="A6" s="10" t="inlineStr">
        <is>
          <t>P4</t>
        </is>
      </c>
      <c r="B6">
        <f>COUNTIF(Gantt!$B:$B,A6)</f>
        <v/>
      </c>
      <c r="C6">
        <f>SUMIF(Gantt!$B:$B,A6,Gantt!$G:$G)</f>
        <v/>
      </c>
      <c r="D6">
        <f>COUNTIFS(Gantt!$B:$B,A6,Gantt!$J:$J,"Done")</f>
        <v/>
      </c>
      <c r="E6">
        <f>COUNTIFS(Gantt!$B:$B,A6,Gantt!$J:$J,"In progress")</f>
        <v/>
      </c>
      <c r="F6">
        <f>COUNTIFS(Gantt!$B:$B,A6,Gantt!$J:$J,"Late*")</f>
        <v/>
      </c>
      <c r="G6" s="4">
        <f>IF(C6&gt;0,SUMIF(Gantt!$B:$B,A6,Gantt!$K:$K)/C6,0)</f>
        <v/>
      </c>
      <c r="H6" s="3" t="n">
        <v>46328</v>
      </c>
      <c r="I6" s="3" t="n">
        <v>46357</v>
      </c>
      <c r="J6" t="inlineStr">
        <is>
          <t>Review, consensus &amp; credits</t>
        </is>
      </c>
    </row>
    <row r="7">
      <c r="A7" s="11" t="inlineStr">
        <is>
          <t>P5</t>
        </is>
      </c>
      <c r="B7">
        <f>COUNTIF(Gantt!$B:$B,A7)</f>
        <v/>
      </c>
      <c r="C7">
        <f>SUMIF(Gantt!$B:$B,A7,Gantt!$G:$G)</f>
        <v/>
      </c>
      <c r="D7">
        <f>COUNTIFS(Gantt!$B:$B,A7,Gantt!$J:$J,"Done")</f>
        <v/>
      </c>
      <c r="E7">
        <f>COUNTIFS(Gantt!$B:$B,A7,Gantt!$J:$J,"In progress")</f>
        <v/>
      </c>
      <c r="F7">
        <f>COUNTIFS(Gantt!$B:$B,A7,Gantt!$J:$J,"Late*")</f>
        <v/>
      </c>
      <c r="G7" s="4">
        <f>IF(C7&gt;0,SUMIF(Gantt!$B:$B,A7,Gantt!$K:$K)/C7,0)</f>
        <v/>
      </c>
      <c r="H7" s="3" t="n">
        <v>46336</v>
      </c>
      <c r="I7" s="3" t="n">
        <v>46372</v>
      </c>
      <c r="J7" t="inlineStr">
        <is>
          <t>Payments</t>
        </is>
      </c>
    </row>
    <row r="8">
      <c r="A8" s="12" t="inlineStr">
        <is>
          <t>P6</t>
        </is>
      </c>
      <c r="B8">
        <f>COUNTIF(Gantt!$B:$B,A8)</f>
        <v/>
      </c>
      <c r="C8">
        <f>SUMIF(Gantt!$B:$B,A8,Gantt!$G:$G)</f>
        <v/>
      </c>
      <c r="D8">
        <f>COUNTIFS(Gantt!$B:$B,A8,Gantt!$J:$J,"Done")</f>
        <v/>
      </c>
      <c r="E8">
        <f>COUNTIFS(Gantt!$B:$B,A8,Gantt!$J:$J,"In progress")</f>
        <v/>
      </c>
      <c r="F8">
        <f>COUNTIFS(Gantt!$B:$B,A8,Gantt!$J:$J,"Late*")</f>
        <v/>
      </c>
      <c r="G8" s="4">
        <f>IF(C8&gt;0,SUMIF(Gantt!$B:$B,A8,Gantt!$K:$K)/C8,0)</f>
        <v/>
      </c>
      <c r="H8" s="3" t="n">
        <v>46372</v>
      </c>
      <c r="I8" s="3" t="n">
        <v>46407</v>
      </c>
      <c r="J8" t="inlineStr">
        <is>
          <t>Frontend</t>
        </is>
      </c>
    </row>
    <row r="9">
      <c r="A9" s="13" t="inlineStr">
        <is>
          <t>P7</t>
        </is>
      </c>
      <c r="B9">
        <f>COUNTIF(Gantt!$B:$B,A9)</f>
        <v/>
      </c>
      <c r="C9">
        <f>SUMIF(Gantt!$B:$B,A9,Gantt!$G:$G)</f>
        <v/>
      </c>
      <c r="D9">
        <f>COUNTIFS(Gantt!$B:$B,A9,Gantt!$J:$J,"Done")</f>
        <v/>
      </c>
      <c r="E9">
        <f>COUNTIFS(Gantt!$B:$B,A9,Gantt!$J:$J,"In progress")</f>
        <v/>
      </c>
      <c r="F9">
        <f>COUNTIFS(Gantt!$B:$B,A9,Gantt!$J:$J,"Late*")</f>
        <v/>
      </c>
      <c r="G9" s="4">
        <f>IF(C9&gt;0,SUMIF(Gantt!$B:$B,A9,Gantt!$K:$K)/C9,0)</f>
        <v/>
      </c>
      <c r="H9" s="3" t="n">
        <v>46373</v>
      </c>
      <c r="I9" s="3" t="n">
        <v>46408</v>
      </c>
      <c r="J9" t="inlineStr">
        <is>
          <t>Hardening</t>
        </is>
      </c>
    </row>
    <row r="10">
      <c r="A10" s="14" t="inlineStr">
        <is>
          <t>P8</t>
        </is>
      </c>
      <c r="B10">
        <f>COUNTIF(Gantt!$B:$B,A10)</f>
        <v/>
      </c>
      <c r="C10">
        <f>SUMIF(Gantt!$B:$B,A10,Gantt!$G:$G)</f>
        <v/>
      </c>
      <c r="D10">
        <f>COUNTIFS(Gantt!$B:$B,A10,Gantt!$J:$J,"Done")</f>
        <v/>
      </c>
      <c r="E10">
        <f>COUNTIFS(Gantt!$B:$B,A10,Gantt!$J:$J,"In progress")</f>
        <v/>
      </c>
      <c r="F10">
        <f>COUNTIFS(Gantt!$B:$B,A10,Gantt!$J:$J,"Late*")</f>
        <v/>
      </c>
      <c r="G10" s="4">
        <f>IF(C10&gt;0,SUMIF(Gantt!$B:$B,A10,Gantt!$K:$K)/C10,0)</f>
        <v/>
      </c>
      <c r="H10" s="3" t="n">
        <v>46296</v>
      </c>
      <c r="I10" s="3" t="n">
        <v>46429</v>
      </c>
      <c r="J10" t="inlineStr">
        <is>
          <t>Beta &amp; launch</t>
        </is>
      </c>
    </row>
    <row r="11">
      <c r="A11" s="15" t="inlineStr">
        <is>
          <t>P9</t>
        </is>
      </c>
      <c r="B11">
        <f>COUNTIF(Gantt!$B:$B,A11)</f>
        <v/>
      </c>
      <c r="C11">
        <f>SUMIF(Gantt!$B:$B,A11,Gantt!$G:$G)</f>
        <v/>
      </c>
      <c r="D11">
        <f>COUNTIFS(Gantt!$B:$B,A11,Gantt!$J:$J,"Done")</f>
        <v/>
      </c>
      <c r="E11">
        <f>COUNTIFS(Gantt!$B:$B,A11,Gantt!$J:$J,"In progress")</f>
        <v/>
      </c>
      <c r="F11">
        <f>COUNTIFS(Gantt!$B:$B,A11,Gantt!$J:$J,"Late*")</f>
        <v/>
      </c>
      <c r="G11" s="4">
        <f>IF(C11&gt;0,SUMIF(Gantt!$B:$B,A11,Gantt!$K:$K)/C11,0)</f>
        <v/>
      </c>
      <c r="H11" s="3" t="n">
        <v>46409</v>
      </c>
      <c r="I11" s="3" t="n">
        <v>46426</v>
      </c>
      <c r="J11" t="inlineStr">
        <is>
          <t>Design &amp; polish (after function)</t>
        </is>
      </c>
    </row>
    <row r="12">
      <c r="A12" s="16" t="inlineStr">
        <is>
          <t>Overall</t>
        </is>
      </c>
      <c r="B12" s="16">
        <f>SUM(B2:B11)</f>
        <v/>
      </c>
      <c r="C12" s="16">
        <f>SUM(C2:C11)</f>
        <v/>
      </c>
      <c r="D12" s="16">
        <f>SUM(D2:D11)</f>
        <v/>
      </c>
      <c r="E12" s="16">
        <f>SUM(E2:E11)</f>
        <v/>
      </c>
      <c r="F12" s="16">
        <f>SUM(F2:F11)</f>
        <v/>
      </c>
      <c r="G12" s="17">
        <f>IF(C12&gt;0,SUM(Gantt!K2:K100)/C12,0)</f>
        <v/>
      </c>
      <c r="H12" s="18" t="n">
        <v>46286</v>
      </c>
      <c r="I12" s="18" t="n">
        <v>46429</v>
      </c>
    </row>
    <row r="14">
      <c r="A14" t="inlineStr">
        <is>
          <t>Edit only % Complete on the Gantt tab; everything else updates. Detail: docs/specs/10-tasks.md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4" customWidth="1" min="4" max="4"/>
  </cols>
  <sheetData>
    <row r="1">
      <c r="A1" s="5" t="inlineStr">
        <is>
          <t>Milestone</t>
        </is>
      </c>
      <c r="B1" s="5" t="inlineStr">
        <is>
          <t>Gate task</t>
        </is>
      </c>
      <c r="C1" s="5" t="inlineStr">
        <is>
          <t>Target date</t>
        </is>
      </c>
      <c r="D1" s="5" t="inlineStr">
        <is>
          <t>Status</t>
        </is>
      </c>
    </row>
    <row r="2">
      <c r="A2" t="inlineStr">
        <is>
          <t>M1 Foundations + JWST data ready</t>
        </is>
      </c>
      <c r="B2" t="inlineStr">
        <is>
          <t>T1.7</t>
        </is>
      </c>
      <c r="C2" s="3">
        <f>INDEX(Gantt!$F:$F,MATCH(B2,Gantt!$A:$A,0))</f>
        <v/>
      </c>
      <c r="D2">
        <f>INDEX(Gantt!$J:$J,MATCH(B2,Gantt!$A:$A,0))</f>
        <v/>
      </c>
    </row>
    <row r="3">
      <c r="A3" t="inlineStr">
        <is>
          <t>M2 Local alpha: agent classifies end-to-end</t>
        </is>
      </c>
      <c r="B3" t="inlineStr">
        <is>
          <t>T3.8</t>
        </is>
      </c>
      <c r="C3" s="3">
        <f>INDEX(Gantt!$F:$F,MATCH(B3,Gantt!$A:$A,0))</f>
        <v/>
      </c>
      <c r="D3">
        <f>INDEX(Gantt!$J:$J,MATCH(B3,Gantt!$A:$A,0))</f>
        <v/>
      </c>
    </row>
    <row r="4">
      <c r="A4" t="inlineStr">
        <is>
          <t>M3 Review &amp; credits complete</t>
        </is>
      </c>
      <c r="B4" t="inlineStr">
        <is>
          <t>T4.8</t>
        </is>
      </c>
      <c r="C4" s="3">
        <f>INDEX(Gantt!$F:$F,MATCH(B4,Gantt!$A:$A,0))</f>
        <v/>
      </c>
      <c r="D4">
        <f>INDEX(Gantt!$J:$J,MATCH(B4,Gantt!$A:$A,0))</f>
        <v/>
      </c>
    </row>
    <row r="5">
      <c r="A5" t="inlineStr">
        <is>
          <t>M4 Payments complete</t>
        </is>
      </c>
      <c r="B5" t="inlineStr">
        <is>
          <t>T5.7</t>
        </is>
      </c>
      <c r="C5" s="3">
        <f>INDEX(Gantt!$F:$F,MATCH(B5,Gantt!$A:$A,0))</f>
        <v/>
      </c>
      <c r="D5">
        <f>INDEX(Gantt!$J:$J,MATCH(B5,Gantt!$A:$A,0))</f>
        <v/>
      </c>
    </row>
    <row r="6">
      <c r="A6" t="inlineStr">
        <is>
          <t>M5 Frontend feature-complete (unstyled)</t>
        </is>
      </c>
      <c r="B6" t="inlineStr">
        <is>
          <t>T6.10</t>
        </is>
      </c>
      <c r="C6" s="3">
        <f>INDEX(Gantt!$F:$F,MATCH(B6,Gantt!$A:$A,0))</f>
        <v/>
      </c>
      <c r="D6">
        <f>INDEX(Gantt!$J:$J,MATCH(B6,Gantt!$A:$A,0))</f>
        <v/>
      </c>
    </row>
    <row r="7">
      <c r="A7" t="inlineStr">
        <is>
          <t>M5b Design applied</t>
        </is>
      </c>
      <c r="B7" t="inlineStr">
        <is>
          <t>T9.5</t>
        </is>
      </c>
      <c r="C7" s="3">
        <f>INDEX(Gantt!$F:$F,MATCH(B7,Gantt!$A:$A,0))</f>
        <v/>
      </c>
      <c r="D7">
        <f>INDEX(Gantt!$J:$J,MATCH(B7,Gantt!$A:$A,0))</f>
        <v/>
      </c>
    </row>
    <row r="8">
      <c r="A8" t="inlineStr">
        <is>
          <t>M6 Staging loaded &amp; beta-ready backend</t>
        </is>
      </c>
      <c r="B8" t="inlineStr">
        <is>
          <t>T8.2</t>
        </is>
      </c>
      <c r="C8" s="3">
        <f>INDEX(Gantt!$F:$F,MATCH(B8,Gantt!$A:$A,0))</f>
        <v/>
      </c>
      <c r="D8">
        <f>INDEX(Gantt!$J:$J,MATCH(B8,Gantt!$A:$A,0))</f>
        <v/>
      </c>
    </row>
    <row r="9">
      <c r="A9" t="inlineStr">
        <is>
          <t>M7 Public launch</t>
        </is>
      </c>
      <c r="B9" t="inlineStr">
        <is>
          <t>T8.7</t>
        </is>
      </c>
      <c r="C9" s="3">
        <f>INDEX(Gantt!$F:$F,MATCH(B9,Gantt!$A:$A,0))</f>
        <v/>
      </c>
      <c r="D9">
        <f>INDEX(Gantt!$J:$J,MATCH(B9,Gantt!$A:$A,0))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2026-09-27T06:09:40Z</dcterms:created>
  <dcterms:modified xsi:type="dcterms:W3CDTF">2026-09-27T06:09:40Z</dcterms:modified>
</cp:coreProperties>
</file>